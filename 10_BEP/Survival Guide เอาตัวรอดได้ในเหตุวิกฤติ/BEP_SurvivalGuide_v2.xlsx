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🎯 BEP Summary" sheetId="1" state="visible" r:id="rId3"/>
    <sheet name="📅 Monthly Forecas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<sst xmlns="http://schemas.openxmlformats.org/spreadsheetml/2006/main" count="165" uniqueCount="153">
  <si>
    <t xml:space="preserve">BEP — Survival Guide เอาตัวรอดได้ในเหตุวิกฤติ</t>
  </si>
  <si>
    <t xml:space="preserve">v2 | 20 May 2026 | Shopee -15% / Consignment -15% | Gap Rule: FB &lt; TikTok &lt; Shopee &lt; C1 ฿429 | GM ฿875K ถึง ธ.ค. 2026 ต้องการ PEAK ≥ 4,179 | C1=0 เดือนแรก | C2 เฉพาะ APR/OCT</t>
  </si>
  <si>
    <t xml:space="preserve">📌  ข้อมูลหนังสือ</t>
  </si>
  <si>
    <t xml:space="preserve">ชื่อหนังสือ</t>
  </si>
  <si>
    <t xml:space="preserve">Survival Guide เอาตัวรอดได้ในเหตุวิกฤติ</t>
  </si>
  <si>
    <t xml:space="preserve">Product Type</t>
  </si>
  <si>
    <t xml:space="preserve">EDUGADGETS</t>
  </si>
  <si>
    <t xml:space="preserve">Launch Date</t>
  </si>
  <si>
    <t xml:space="preserve">14 Sep 2026</t>
  </si>
  <si>
    <t xml:space="preserve">Month 1 = Prorated 17 วัน</t>
  </si>
  <si>
    <t xml:space="preserve">Prorated Factor</t>
  </si>
  <si>
    <t xml:space="preserve">17 วัน ÷ 30 วัน</t>
  </si>
  <si>
    <t xml:space="preserve">Peak Months</t>
  </si>
  <si>
    <t xml:space="preserve">Oct – Dec 2026</t>
  </si>
  <si>
    <t xml:space="preserve">Month 2-4</t>
  </si>
  <si>
    <t xml:space="preserve">Lot 1</t>
  </si>
  <si>
    <t xml:space="preserve">เล่ม</t>
  </si>
  <si>
    <t xml:space="preserve">Lot 2</t>
  </si>
  <si>
    <t xml:space="preserve">รวม Lot</t>
  </si>
  <si>
    <t xml:space="preserve">💰  โครงสร้างต้นทุน</t>
  </si>
  <si>
    <t xml:space="preserve">COG Variable (พิมพ์/เล่ม)</t>
  </si>
  <si>
    <t xml:space="preserve">ฝังอยู่ใน Margin/unit แล้ว</t>
  </si>
  <si>
    <t xml:space="preserve">Fixed Production Cost</t>
  </si>
  <si>
    <t xml:space="preserve">ต้นทุนในการทำเล่ม/ผลิต</t>
  </si>
  <si>
    <t xml:space="preserve">First MKT Launch Budget</t>
  </si>
  <si>
    <t xml:space="preserve">ค่าการตลาด 60 วันแรก</t>
  </si>
  <si>
    <t xml:space="preserve">รวมต้นทุนตั้งต้น</t>
  </si>
  <si>
    <t xml:space="preserve">Fixed + First MKT</t>
  </si>
  <si>
    <t xml:space="preserve">🎯  เป้าหมาย</t>
  </si>
  <si>
    <t xml:space="preserve">Sale Target (Year 1)</t>
  </si>
  <si>
    <t xml:space="preserve">เป้าจาก Template</t>
  </si>
  <si>
    <t xml:space="preserve">GM Target (Year 1)</t>
  </si>
  <si>
    <t xml:space="preserve">เป้า Gross Margin</t>
  </si>
  <si>
    <t xml:space="preserve">GM % Target</t>
  </si>
  <si>
    <t xml:space="preserve">📊  ช่องทาง — ราคา / ส่วนลด / Margin Per Unit (List Price)  |  Discount = Reference เพื่อเช็ค Gap เท่านั้น</t>
  </si>
  <si>
    <t xml:space="preserve">Channel</t>
  </si>
  <si>
    <t xml:space="preserve">ราคา (฿)
List</t>
  </si>
  <si>
    <t xml:space="preserve">ส่วนลด %</t>
  </si>
  <si>
    <t xml:space="preserve">ราคาหลัง Discount
(฿) ← Ref Only</t>
  </si>
  <si>
    <t xml:space="preserve">ค่าส่ง (฿)</t>
  </si>
  <si>
    <t xml:space="preserve">ราคา+ค่าส่ง
(ลูกค้าจ่าย)</t>
  </si>
  <si>
    <t xml:space="preserve">Margin/Unit
(฿) List</t>
  </si>
  <si>
    <t xml:space="preserve">Margin %
List</t>
  </si>
  <si>
    <t xml:space="preserve">%Ads
(Ref)</t>
  </si>
  <si>
    <t xml:space="preserve">Mix %</t>
  </si>
  <si>
    <t xml:space="preserve">หมายเหตุ</t>
  </si>
  <si>
    <t xml:space="preserve">Facebook</t>
  </si>
  <si>
    <t xml:space="preserve">Online 2 | VAR 17.50%fix+16.46%+1.03%ship+44.23%ads=79.22% | Margin ฿55.90 (20.78%)</t>
  </si>
  <si>
    <t xml:space="preserve">TikTok</t>
  </si>
  <si>
    <t xml:space="preserve">Online 1 (Shop+Affi) | VAR 97.48% total | Margin ฿8.04 (2.52%) ⚠️ thin</t>
  </si>
  <si>
    <t xml:space="preserve">TikTok Live</t>
  </si>
  <si>
    <t xml:space="preserve">Online 4 | Live event only | VAR 71.32% | Margin ฿71.44 (28.69%)</t>
  </si>
  <si>
    <t xml:space="preserve">Shopee</t>
  </si>
  <si>
    <t xml:space="preserve">Online 3 | -15% Shopee discount (Ref) | VAR 62.22% | Margin ฿131.85 (37.78%)</t>
  </si>
  <si>
    <t xml:space="preserve">C1 (Consignment)</t>
  </si>
  <si>
    <t xml:space="preserve">Consignment 1 | ราคาหลังปก ฿429 | -15% สต็อก/event (Ref) | VAR 49.54% | Margin ฿216.49 (50.46%) | C1=0 เดือนแรก</t>
  </si>
  <si>
    <t xml:space="preserve">C2 (Consignment)</t>
  </si>
  <si>
    <t xml:space="preserve">Consignment 2 | -15% สต็อก/event (Ref) | VAR 50.83% | Margin ฿147.02 (49.17%)</t>
  </si>
  <si>
    <t xml:space="preserve">✅ Gap Rule (List): FB ฿269 &lt; TikTok ฿319 &lt; Shopee ฿349 &lt; C1 ฿429 (หลังปก)  |  ✅ Gap หลัง Disc 15%: Shopee net ฿297 &lt; C1 net ฿364.65 (Gap RESTORED)  |  ✅ Margin คำนวณจาก List Price ทุกช่องทาง (Discount ไม่กระทบ)  |  ⚠️ C1 = 0 เดือน Sep 2026 (เดือนแรก)  |  C2 มียอดเฉพาะ APR/OCT/DEC เท่านั้น</t>
  </si>
  <si>
    <t xml:space="preserve">🔢  Blended Average (List Price × Mix)</t>
  </si>
  <si>
    <t xml:space="preserve">ราคา List (฿)</t>
  </si>
  <si>
    <t xml:space="preserve">Rev Contribution
(List)</t>
  </si>
  <si>
    <t xml:space="preserve">Ads Contribution</t>
  </si>
  <si>
    <t xml:space="preserve">Margin Contribution
(List)</t>
  </si>
  <si>
    <t xml:space="preserve">BLENDED</t>
  </si>
  <si>
    <t xml:space="preserve">List Avg Price →</t>
  </si>
  <si>
    <t xml:space="preserve">← Blended Margin/Unit (List Price)</t>
  </si>
  <si>
    <t xml:space="preserve">📐  BEP Calculation — Margin จาก List Price  |  Discount = Reference เท่านั้น</t>
  </si>
  <si>
    <t xml:space="preserve">Blended List Revenue / Unit</t>
  </si>
  <si>
    <t xml:space="preserve">avg ราคา List weighted by mix</t>
  </si>
  <si>
    <t xml:space="preserve">Blended Ads / Unit</t>
  </si>
  <si>
    <t xml:space="preserve">avg ค่าโฆษณา weighted by mix</t>
  </si>
  <si>
    <t xml:space="preserve">Blended Margin / Unit (List)</t>
  </si>
  <si>
    <t xml:space="preserve">margin จาก List Price — Discount ไม่กระทบตัวเลขนี้</t>
  </si>
  <si>
    <t xml:space="preserve">Blended Margin %</t>
  </si>
  <si>
    <t xml:space="preserve">First MKT Budget</t>
  </si>
  <si>
    <t xml:space="preserve">Total Initial Fixed Cost</t>
  </si>
  <si>
    <t xml:space="preserve">BEP Units</t>
  </si>
  <si>
    <t xml:space="preserve">Fixed÷Margin/Unit</t>
  </si>
  <si>
    <t xml:space="preserve">BEP Revenue</t>
  </si>
  <si>
    <t xml:space="preserve">Units เพื่อ GM Target</t>
  </si>
  <si>
    <t xml:space="preserve">units ที่ต้องขายให้ GM ถึง ฿875K</t>
  </si>
  <si>
    <t xml:space="preserve">📅 Monthly Forecast — Survival Guide เอาตัวรอดได้ในเหตุวิกฤติ (v2 — Margin คำนวณจาก List Price)</t>
  </si>
  <si>
    <t xml:space="preserve">⚙️ แก้ PEAK (C5 สีแดง) — ทุกเดือนปรับสัดส่วนอัตโนมัติ  |  Revenue &amp; GM คำนวณจาก List Price  |  PEAK=4,179 → GM Target ฿875K ถึง ธ.ค. 2026  |  C1 ฿429 (หลังปก) | C1=0 Sep 2026 | C2 เฉพาะ APR/OCT  |  เพิ่ม PEAK → ถึงเป้าเร็วขึ้น</t>
  </si>
  <si>
    <t xml:space="preserve">List Margin/Unit (CSV5): FB ฿55.90 (20.8%)  |  TikTok ฿8.04 (2.5%)⚠️  |  TK Live ฿71.44 (28.7%)  |  Shopee ฿131.85 (37.8%)  |  C1 ฿216.49 (50.5%)  |  C2 ฿147.02 (49.2%)  |  Sep blended (no C1/C2) ฿51.44  |  Oct-Dec blended (C1) ฿60.10  |  PEAK ขั้นต่ำ = 4,179 → GM ฿875K ถึง ธ.ค. 2026</t>
  </si>
  <si>
    <t xml:space="preserve">Month</t>
  </si>
  <si>
    <t xml:space="preserve">Phase</t>
  </si>
  <si>
    <t xml:space="preserve">Total Units</t>
  </si>
  <si>
    <t xml:space="preserve">FB
(฿269)</t>
  </si>
  <si>
    <t xml:space="preserve">TikTok
(฿319)</t>
  </si>
  <si>
    <t xml:space="preserve">TK Live
(฿249)</t>
  </si>
  <si>
    <t xml:space="preserve">Shopee
(฿349)</t>
  </si>
  <si>
    <t xml:space="preserve">C1
(฿429)</t>
  </si>
  <si>
    <t xml:space="preserve">C2
(฿299)</t>
  </si>
  <si>
    <t xml:space="preserve">Revenue (฿)
List</t>
  </si>
  <si>
    <t xml:space="preserve">Ads Cost (฿)</t>
  </si>
  <si>
    <t xml:space="preserve">Gross Margin (฿)
(List)</t>
  </si>
  <si>
    <t xml:space="preserve">GM %</t>
  </si>
  <si>
    <t xml:space="preserve">Cumul GM (฿)</t>
  </si>
  <si>
    <t xml:space="preserve">vs GM Target
(฿875K Year 1)</t>
  </si>
  <si>
    <t xml:space="preserve">⚙️ PEAK Units / เดือน (แก้ตัวนี้ตัวเดียว)</t>
  </si>
  <si>
    <t xml:space="preserve">📌 ทุกเดือนคำนวณจาก PEAK × decay factor อัตโนมัติ  |  PEAK ขั้นต่ำ = 4,179 → GM ฿875K ถึง ธ.ค. 2026  |  C1=0 Sep 2026 | C2 เฉพาะ APR/OCT  |  เพิ่ม PEAK → ถึงเป้าเร็วขึ้น</t>
  </si>
  <si>
    <t xml:space="preserve">Sep 2026</t>
  </si>
  <si>
    <t xml:space="preserve">PRORATED 17/30</t>
  </si>
  <si>
    <t xml:space="preserve">Oct 2026</t>
  </si>
  <si>
    <t xml:space="preserve">PEAK 🎯</t>
  </si>
  <si>
    <t xml:space="preserve">Nov 2026</t>
  </si>
  <si>
    <t xml:space="preserve">Dec 2026</t>
  </si>
  <si>
    <t xml:space="preserve">PEAK ✅GM Dec26</t>
  </si>
  <si>
    <t xml:space="preserve">Jan 2027</t>
  </si>
  <si>
    <t xml:space="preserve">Decay 1  (80%)</t>
  </si>
  <si>
    <t xml:space="preserve">Feb 2027</t>
  </si>
  <si>
    <t xml:space="preserve">Decay 2  (65%)</t>
  </si>
  <si>
    <t xml:space="preserve">Mar 2027</t>
  </si>
  <si>
    <t xml:space="preserve">Decay 3  (55%)</t>
  </si>
  <si>
    <t xml:space="preserve">Apr 2027</t>
  </si>
  <si>
    <t xml:space="preserve">Decay 4  (45%)</t>
  </si>
  <si>
    <t xml:space="preserve">May 2027</t>
  </si>
  <si>
    <t xml:space="preserve">Decay 5  (38%)</t>
  </si>
  <si>
    <t xml:space="preserve">Jun 2027</t>
  </si>
  <si>
    <t xml:space="preserve">Decay 6  (32%)</t>
  </si>
  <si>
    <t xml:space="preserve">Jul 2027</t>
  </si>
  <si>
    <t xml:space="preserve">Decay 7  (27%)</t>
  </si>
  <si>
    <t xml:space="preserve">Aug 2027</t>
  </si>
  <si>
    <t xml:space="preserve">Decay 8  (23%)</t>
  </si>
  <si>
    <t xml:space="preserve">Sep 2027</t>
  </si>
  <si>
    <t xml:space="preserve">Decay 9  (20%)</t>
  </si>
  <si>
    <t xml:space="preserve">Oct 2027</t>
  </si>
  <si>
    <t xml:space="preserve">Decay 10 (18%)</t>
  </si>
  <si>
    <t xml:space="preserve">Nov 2027</t>
  </si>
  <si>
    <t xml:space="preserve">Decay 11 (18%)</t>
  </si>
  <si>
    <t xml:space="preserve">Dec 2027</t>
  </si>
  <si>
    <t xml:space="preserve">Decay 12 (15%)</t>
  </si>
  <si>
    <t xml:space="preserve">Jan 2028</t>
  </si>
  <si>
    <t xml:space="preserve">Decay 13 (15%)</t>
  </si>
  <si>
    <t xml:space="preserve">Feb 2028</t>
  </si>
  <si>
    <t xml:space="preserve">Decay 14 (13%)</t>
  </si>
  <si>
    <t xml:space="preserve">Mar 2028</t>
  </si>
  <si>
    <t xml:space="preserve">Decay 15 (10%)</t>
  </si>
  <si>
    <t xml:space="preserve">Apr 2028</t>
  </si>
  <si>
    <t xml:space="preserve">Decay 16 (10%)</t>
  </si>
  <si>
    <t xml:space="preserve">May 2028</t>
  </si>
  <si>
    <t xml:space="preserve">Decay 17  (8%)</t>
  </si>
  <si>
    <t xml:space="preserve">Jun 2028</t>
  </si>
  <si>
    <t xml:space="preserve">Decay 18  (8%)</t>
  </si>
  <si>
    <t xml:space="preserve">Jul 2028</t>
  </si>
  <si>
    <t xml:space="preserve">Decay 19  (5%)</t>
  </si>
  <si>
    <t xml:space="preserve">Aug 2028</t>
  </si>
  <si>
    <t xml:space="preserve">Decay 20  (5%)</t>
  </si>
  <si>
    <t xml:space="preserve">TOTAL 24M</t>
  </si>
  <si>
    <t xml:space="preserve">Sep 2026 – Aug 2028</t>
  </si>
  <si>
    <t xml:space="preserve">Year 1 (Sep 2026 – Aug 2027)</t>
  </si>
  <si>
    <t xml:space="preserve">📌 Column O = Cumul GM − GM Target ฿875,000  |  เขียว ✅ ธ.ค. 2026 (เดือน 4) เมื่อ PEAK ≥ 4,179  |  C1 ฿429 (หลังปก) | C1=0 เดือนแรก Sep 2026 | C2 เฉพาะ APR/OCT  |  Revenue &amp; GM คำนวณจาก List Price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</si>
</sst>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#,##0"/>
    <numFmt numFmtId="167" formatCode="#,##0.00"/>
    <numFmt numFmtId="168" formatCode="\+#,##0;[RED]\-#,##0;\-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6400"/>
      <name val="Arial"/>
      <family val="0"/>
      <charset val="1"/>
    </font>
    <font>
      <sz val="10"/>
      <color rgb="FF555555"/>
      <name val="Arial"/>
      <family val="0"/>
      <charset val="1"/>
    </font>
    <font>
      <sz val="9"/>
      <color rgb="FF555555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sz val="10"/>
      <color rgb="FFCC0000"/>
      <name val="Arial"/>
      <family val="0"/>
      <charset val="1"/>
    </font>
    <font>
      <b val="true"/>
      <sz val="9"/>
      <color rgb="FF5C4200"/>
      <name val="Arial"/>
      <family val="0"/>
      <charset val="1"/>
    </font>
    <font>
      <sz val="10"/>
      <color rgb="FF0064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8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14"/>
      <color rgb="FFCC0000"/>
      <name val="Arial"/>
      <family val="0"/>
      <charset val="1"/>
    </font>
    <font>
      <i val="true"/>
      <sz val="9"/>
      <color rgb="FF5C4200"/>
      <name val="Arial"/>
      <family val="0"/>
      <charset val="1"/>
    </font>
    <font>
      <sz val="8"/>
      <color rgb="FF777777"/>
      <name val="Arial"/>
      <family val="0"/>
      <charset val="1"/>
    </font>
    <font>
      <b val="true"/>
      <sz val="10"/>
      <color rgb="FF444444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999999"/>
      <name val="Arial"/>
      <family val="0"/>
      <charset val="1"/>
    </font>
    <font>
      <b val="true"/>
      <sz val="8"/>
      <color rgb="FF006400"/>
      <name val="Arial"/>
      <family val="0"/>
      <charset val="1"/>
    </font>
    <font>
      <b val="true"/>
      <sz val="8"/>
      <color rgb="FF155724"/>
      <name val="Arial"/>
      <family val="0"/>
      <charset val="1"/>
    </font>
    <font>
      <b val="true"/>
      <sz val="10"/>
      <color rgb="FF155724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444444"/>
      </patternFill>
    </fill>
    <fill>
      <patternFill patternType="solid">
        <fgColor rgb="FFF5F5F5"/>
        <bgColor rgb="FFF8F8F8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FF3CD"/>
      </patternFill>
    </fill>
    <fill>
      <patternFill patternType="solid">
        <fgColor rgb="FFE7F3E7"/>
        <bgColor rgb="FFF0F0F0"/>
      </patternFill>
    </fill>
    <fill>
      <patternFill patternType="solid">
        <fgColor rgb="FFFFFFFF"/>
        <bgColor rgb="FFF8F8F8"/>
      </patternFill>
    </fill>
    <fill>
      <patternFill patternType="solid">
        <fgColor rgb="FFFFE5E5"/>
        <bgColor rgb="FFF0F0F0"/>
      </patternFill>
    </fill>
    <fill>
      <patternFill patternType="solid">
        <fgColor rgb="FFFFF3CD"/>
        <bgColor rgb="FFFFF2CC"/>
      </patternFill>
    </fill>
    <fill>
      <patternFill patternType="solid">
        <fgColor rgb="FFD6E4F0"/>
        <bgColor rgb="FFDDEBF7"/>
      </patternFill>
    </fill>
    <fill>
      <patternFill patternType="solid">
        <fgColor rgb="FFE8F4FF"/>
        <bgColor rgb="FFF0F0F0"/>
      </patternFill>
    </fill>
    <fill>
      <patternFill patternType="solid">
        <fgColor rgb="FFF8F8F8"/>
        <bgColor rgb="FFF5F5F5"/>
      </patternFill>
    </fill>
    <fill>
      <patternFill patternType="solid">
        <fgColor rgb="FFF0F0F0"/>
        <bgColor rgb="FFF5F5F5"/>
      </patternFill>
    </fill>
    <fill>
      <patternFill patternType="solid">
        <fgColor rgb="FFDDEBF7"/>
        <bgColor rgb="FFD6E4F0"/>
      </patternFill>
    </fill>
    <fill>
      <patternFill patternType="solid">
        <fgColor rgb="FFD4EDDA"/>
        <bgColor rgb="FFD6E4F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medium">
        <color rgb="FF555555"/>
      </left>
      <right style="medium">
        <color rgb="FF555555"/>
      </right>
      <top style="medium">
        <color rgb="FF555555"/>
      </top>
      <bottom style="medium">
        <color rgb="FF555555"/>
      </bottom>
      <diagonal/>
    </border>
    <border diagonalUp="false" diagonalDown="false">
      <left style="medium">
        <color rgb="FF555555"/>
      </left>
      <right/>
      <top style="medium">
        <color rgb="FF555555"/>
      </top>
      <bottom style="medium">
        <color rgb="FF55555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0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4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9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2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8F8F8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AAAAAA"/>
      <rgbColor rgb="FF777777"/>
      <rgbColor rgb="FF9999FF"/>
      <rgbColor rgb="FF993366"/>
      <rgbColor rgb="FFFFF3CD"/>
      <rgbColor rgb="FFE8F4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D4EDDA"/>
      <rgbColor rgb="FFFFF2CC"/>
      <rgbColor rgb="FFE7F3E7"/>
      <rgbColor rgb="FFF0F0F0"/>
      <rgbColor rgb="FFF5F5F5"/>
      <rgbColor rgb="FFFFE5E5"/>
      <rgbColor rgb="FF2E75B6"/>
      <rgbColor rgb="FF33CCCC"/>
      <rgbColor rgb="FF99CC00"/>
      <rgbColor rgb="FFFFCC00"/>
      <rgbColor rgb="FFFF9900"/>
      <rgbColor rgb="FFFF6600"/>
      <rgbColor rgb="FF666666"/>
      <rgbColor rgb="FF999999"/>
      <rgbColor rgb="FF1F3864"/>
      <rgbColor rgb="FF339966"/>
      <rgbColor rgb="FF155724"/>
      <rgbColor rgb="FF5C4200"/>
      <rgbColor rgb="FF993300"/>
      <rgbColor rgb="FF993366"/>
      <rgbColor rgb="FF555555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10" min="8" style="0" width="10"/>
    <col collapsed="false" customWidth="true" hidden="false" outlineLevel="0" max="11" min="11" style="0" width="3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8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customFormat="false" ht="68.65" hidden="false" customHeight="false" outlineLevel="0" collapsed="false">
      <c r="A5" s="4" t="s">
        <v>3</v>
      </c>
      <c r="B5" s="5" t="s">
        <v>4</v>
      </c>
      <c r="C5" s="6"/>
      <c r="D5" s="6"/>
      <c r="E5" s="6"/>
      <c r="F5" s="6"/>
      <c r="G5" s="6"/>
      <c r="H5" s="6"/>
      <c r="I5" s="6"/>
      <c r="J5" s="6"/>
      <c r="K5" s="6"/>
    </row>
    <row r="6" customFormat="false" ht="23.85" hidden="false" customHeight="false" outlineLevel="0" collapsed="false">
      <c r="A6" s="4" t="s">
        <v>5</v>
      </c>
      <c r="B6" s="5" t="s">
        <v>6</v>
      </c>
      <c r="C6" s="6"/>
      <c r="D6" s="6"/>
      <c r="E6" s="6"/>
      <c r="F6" s="6"/>
      <c r="G6" s="6"/>
      <c r="H6" s="6"/>
      <c r="I6" s="6"/>
      <c r="J6" s="6"/>
      <c r="K6" s="6"/>
    </row>
    <row r="7" customFormat="false" ht="15" hidden="false" customHeight="true" outlineLevel="0" collapsed="false">
      <c r="A7" s="4" t="s">
        <v>7</v>
      </c>
      <c r="B7" s="5" t="s">
        <v>8</v>
      </c>
      <c r="C7" s="6" t="s">
        <v>9</v>
      </c>
      <c r="D7" s="6"/>
      <c r="E7" s="6"/>
      <c r="F7" s="6"/>
      <c r="G7" s="6"/>
      <c r="H7" s="6"/>
      <c r="I7" s="6"/>
      <c r="J7" s="6"/>
      <c r="K7" s="6"/>
    </row>
    <row r="8" customFormat="false" ht="15" hidden="false" customHeight="true" outlineLevel="0" collapsed="false">
      <c r="A8" s="4" t="s">
        <v>10</v>
      </c>
      <c r="B8" s="7" t="n">
        <f aca="false">17/30</f>
        <v>0.566666666666667</v>
      </c>
      <c r="C8" s="6" t="s">
        <v>11</v>
      </c>
      <c r="D8" s="6"/>
      <c r="E8" s="6"/>
      <c r="F8" s="6"/>
      <c r="G8" s="6"/>
      <c r="H8" s="6"/>
      <c r="I8" s="6"/>
      <c r="J8" s="6"/>
      <c r="K8" s="6"/>
    </row>
    <row r="9" customFormat="false" ht="23.85" hidden="false" customHeight="true" outlineLevel="0" collapsed="false">
      <c r="A9" s="4" t="s">
        <v>12</v>
      </c>
      <c r="B9" s="5" t="s">
        <v>13</v>
      </c>
      <c r="C9" s="6" t="s">
        <v>14</v>
      </c>
      <c r="D9" s="6"/>
      <c r="E9" s="6"/>
      <c r="F9" s="6"/>
      <c r="G9" s="6"/>
      <c r="H9" s="6"/>
      <c r="I9" s="6"/>
      <c r="J9" s="6"/>
      <c r="K9" s="6"/>
    </row>
    <row r="10" customFormat="false" ht="15" hidden="false" customHeight="true" outlineLevel="0" collapsed="false">
      <c r="A10" s="4" t="s">
        <v>15</v>
      </c>
      <c r="B10" s="8" t="n">
        <v>5000</v>
      </c>
      <c r="C10" s="6" t="s">
        <v>16</v>
      </c>
      <c r="D10" s="6"/>
      <c r="E10" s="6"/>
      <c r="F10" s="6"/>
      <c r="G10" s="6"/>
      <c r="H10" s="6"/>
      <c r="I10" s="6"/>
      <c r="J10" s="6"/>
      <c r="K10" s="6"/>
    </row>
    <row r="11" customFormat="false" ht="15" hidden="false" customHeight="true" outlineLevel="0" collapsed="false">
      <c r="A11" s="4" t="s">
        <v>17</v>
      </c>
      <c r="B11" s="8" t="n">
        <v>5000</v>
      </c>
      <c r="C11" s="6" t="s">
        <v>16</v>
      </c>
      <c r="D11" s="6"/>
      <c r="E11" s="6"/>
      <c r="F11" s="6"/>
      <c r="G11" s="6"/>
      <c r="H11" s="6"/>
      <c r="I11" s="6"/>
      <c r="J11" s="6"/>
      <c r="K11" s="6"/>
    </row>
    <row r="12" customFormat="false" ht="15" hidden="false" customHeight="true" outlineLevel="0" collapsed="false">
      <c r="A12" s="4" t="s">
        <v>18</v>
      </c>
      <c r="B12" s="9" t="n">
        <f aca="false">B10+B11</f>
        <v>10000</v>
      </c>
      <c r="C12" s="6" t="s">
        <v>16</v>
      </c>
      <c r="D12" s="6"/>
      <c r="E12" s="6"/>
      <c r="F12" s="6"/>
      <c r="G12" s="6"/>
      <c r="H12" s="6"/>
      <c r="I12" s="6"/>
      <c r="J12" s="6"/>
      <c r="K12" s="6"/>
    </row>
    <row r="14" customFormat="false" ht="18" hidden="false" customHeight="true" outlineLevel="0" collapsed="false">
      <c r="A14" s="3" t="s">
        <v>19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customFormat="false" ht="15" hidden="false" customHeight="true" outlineLevel="0" collapsed="false">
      <c r="A15" s="4" t="s">
        <v>20</v>
      </c>
      <c r="B15" s="10" t="n">
        <v>12</v>
      </c>
      <c r="C15" s="6" t="s">
        <v>21</v>
      </c>
      <c r="D15" s="6"/>
      <c r="E15" s="6"/>
      <c r="F15" s="6"/>
      <c r="G15" s="6"/>
      <c r="H15" s="6"/>
      <c r="I15" s="6"/>
      <c r="J15" s="6"/>
      <c r="K15" s="6"/>
    </row>
    <row r="16" customFormat="false" ht="15" hidden="false" customHeight="true" outlineLevel="0" collapsed="false">
      <c r="A16" s="4" t="s">
        <v>22</v>
      </c>
      <c r="B16" s="8" t="n">
        <v>315712</v>
      </c>
      <c r="C16" s="6" t="s">
        <v>23</v>
      </c>
      <c r="D16" s="6"/>
      <c r="E16" s="6"/>
      <c r="F16" s="6"/>
      <c r="G16" s="6"/>
      <c r="H16" s="6"/>
      <c r="I16" s="6"/>
      <c r="J16" s="6"/>
      <c r="K16" s="6"/>
    </row>
    <row r="17" customFormat="false" ht="15" hidden="false" customHeight="true" outlineLevel="0" collapsed="false">
      <c r="A17" s="4" t="s">
        <v>24</v>
      </c>
      <c r="B17" s="8" t="n">
        <v>50000</v>
      </c>
      <c r="C17" s="6" t="s">
        <v>25</v>
      </c>
      <c r="D17" s="6"/>
      <c r="E17" s="6"/>
      <c r="F17" s="6"/>
      <c r="G17" s="6"/>
      <c r="H17" s="6"/>
      <c r="I17" s="6"/>
      <c r="J17" s="6"/>
      <c r="K17" s="6"/>
    </row>
    <row r="18" customFormat="false" ht="15" hidden="false" customHeight="true" outlineLevel="0" collapsed="false">
      <c r="A18" s="4" t="s">
        <v>26</v>
      </c>
      <c r="B18" s="9" t="n">
        <f aca="false">B16+B17</f>
        <v>365712</v>
      </c>
      <c r="C18" s="6" t="s">
        <v>27</v>
      </c>
      <c r="D18" s="6"/>
      <c r="E18" s="6"/>
      <c r="F18" s="6"/>
      <c r="G18" s="6"/>
      <c r="H18" s="6"/>
      <c r="I18" s="6"/>
      <c r="J18" s="6"/>
      <c r="K18" s="6"/>
    </row>
    <row r="20" customFormat="false" ht="18" hidden="false" customHeight="true" outlineLevel="0" collapsed="false">
      <c r="A20" s="3" t="s">
        <v>28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customFormat="false" ht="15" hidden="false" customHeight="true" outlineLevel="0" collapsed="false">
      <c r="A21" s="4" t="s">
        <v>29</v>
      </c>
      <c r="B21" s="8" t="n">
        <v>3500000</v>
      </c>
      <c r="C21" s="6" t="s">
        <v>30</v>
      </c>
      <c r="D21" s="6"/>
      <c r="E21" s="6"/>
      <c r="F21" s="6"/>
      <c r="G21" s="6"/>
      <c r="H21" s="6"/>
      <c r="I21" s="6"/>
      <c r="J21" s="6"/>
      <c r="K21" s="6"/>
    </row>
    <row r="22" customFormat="false" ht="15" hidden="false" customHeight="true" outlineLevel="0" collapsed="false">
      <c r="A22" s="4" t="s">
        <v>31</v>
      </c>
      <c r="B22" s="8" t="n">
        <v>875000</v>
      </c>
      <c r="C22" s="6" t="s">
        <v>32</v>
      </c>
      <c r="D22" s="6"/>
      <c r="E22" s="6"/>
      <c r="F22" s="6"/>
      <c r="G22" s="6"/>
      <c r="H22" s="6"/>
      <c r="I22" s="6"/>
      <c r="J22" s="6"/>
      <c r="K22" s="6"/>
    </row>
    <row r="23" customFormat="false" ht="15" hidden="false" customHeight="false" outlineLevel="0" collapsed="false">
      <c r="A23" s="4" t="s">
        <v>33</v>
      </c>
      <c r="B23" s="7" t="n">
        <f aca="false">B22/B21</f>
        <v>0.25</v>
      </c>
      <c r="C23" s="6"/>
      <c r="D23" s="6"/>
      <c r="E23" s="6"/>
      <c r="F23" s="6"/>
      <c r="G23" s="6"/>
      <c r="H23" s="6"/>
      <c r="I23" s="6"/>
      <c r="J23" s="6"/>
      <c r="K23" s="6"/>
    </row>
    <row r="25" customFormat="false" ht="18" hidden="false" customHeight="true" outlineLevel="0" collapsed="false">
      <c r="A25" s="3" t="s">
        <v>34</v>
      </c>
      <c r="B25" s="3"/>
      <c r="C25" s="3"/>
      <c r="D25" s="3"/>
      <c r="E25" s="3"/>
      <c r="F25" s="3"/>
      <c r="G25" s="3"/>
      <c r="H25" s="3"/>
      <c r="I25" s="3"/>
      <c r="J25" s="3"/>
      <c r="K25" s="3"/>
    </row>
    <row r="26" customFormat="false" ht="30" hidden="false" customHeight="true" outlineLevel="0" collapsed="false">
      <c r="A26" s="11" t="s">
        <v>35</v>
      </c>
      <c r="B26" s="11" t="s">
        <v>36</v>
      </c>
      <c r="C26" s="11" t="s">
        <v>37</v>
      </c>
      <c r="D26" s="11" t="s">
        <v>38</v>
      </c>
      <c r="E26" s="11" t="s">
        <v>39</v>
      </c>
      <c r="F26" s="11" t="s">
        <v>40</v>
      </c>
      <c r="G26" s="11" t="s">
        <v>41</v>
      </c>
      <c r="H26" s="11" t="s">
        <v>42</v>
      </c>
      <c r="I26" s="11" t="s">
        <v>43</v>
      </c>
      <c r="J26" s="11" t="s">
        <v>44</v>
      </c>
      <c r="K26" s="11" t="s">
        <v>45</v>
      </c>
    </row>
    <row r="27" customFormat="false" ht="16.5" hidden="false" customHeight="true" outlineLevel="0" collapsed="false">
      <c r="A27" s="12" t="s">
        <v>46</v>
      </c>
      <c r="B27" s="13" t="n">
        <v>269</v>
      </c>
      <c r="C27" s="14" t="n">
        <v>0</v>
      </c>
      <c r="D27" s="15" t="n">
        <f aca="false">B27*(1-C27)</f>
        <v>269</v>
      </c>
      <c r="E27" s="8" t="n">
        <v>50</v>
      </c>
      <c r="F27" s="16" t="n">
        <f aca="false">B27+E27</f>
        <v>319</v>
      </c>
      <c r="G27" s="17" t="n">
        <v>55.9</v>
      </c>
      <c r="H27" s="7" t="n">
        <v>0.2078</v>
      </c>
      <c r="I27" s="18" t="n">
        <v>0.4423</v>
      </c>
      <c r="J27" s="14" t="n">
        <v>0.58</v>
      </c>
      <c r="K27" s="19" t="s">
        <v>47</v>
      </c>
    </row>
    <row r="28" customFormat="false" ht="16.5" hidden="false" customHeight="true" outlineLevel="0" collapsed="false">
      <c r="A28" s="12" t="s">
        <v>48</v>
      </c>
      <c r="B28" s="13" t="n">
        <v>319</v>
      </c>
      <c r="C28" s="14" t="n">
        <v>0</v>
      </c>
      <c r="D28" s="15" t="n">
        <f aca="false">B28*(1-C28)</f>
        <v>319</v>
      </c>
      <c r="E28" s="8" t="n">
        <v>16</v>
      </c>
      <c r="F28" s="16" t="n">
        <f aca="false">B28+E28</f>
        <v>335</v>
      </c>
      <c r="G28" s="20" t="n">
        <v>8.04</v>
      </c>
      <c r="H28" s="21" t="n">
        <v>0.0251999999999999</v>
      </c>
      <c r="I28" s="18" t="n">
        <v>0.4316</v>
      </c>
      <c r="J28" s="14" t="n">
        <v>0.22</v>
      </c>
      <c r="K28" s="19" t="s">
        <v>49</v>
      </c>
    </row>
    <row r="29" customFormat="false" ht="16.5" hidden="false" customHeight="true" outlineLevel="0" collapsed="false">
      <c r="A29" s="12" t="s">
        <v>50</v>
      </c>
      <c r="B29" s="13" t="n">
        <v>249</v>
      </c>
      <c r="C29" s="14" t="n">
        <v>0</v>
      </c>
      <c r="D29" s="15" t="n">
        <f aca="false">B29*(1-C29)</f>
        <v>249</v>
      </c>
      <c r="E29" s="8" t="n">
        <v>16</v>
      </c>
      <c r="F29" s="16" t="n">
        <f aca="false">B29+E29</f>
        <v>265</v>
      </c>
      <c r="G29" s="17" t="n">
        <v>71.44</v>
      </c>
      <c r="H29" s="7" t="n">
        <v>0.2869</v>
      </c>
      <c r="I29" s="18" t="n">
        <v>0.1264</v>
      </c>
      <c r="J29" s="14" t="n">
        <v>0.02</v>
      </c>
      <c r="K29" s="19" t="s">
        <v>51</v>
      </c>
    </row>
    <row r="30" customFormat="false" ht="16.5" hidden="false" customHeight="true" outlineLevel="0" collapsed="false">
      <c r="A30" s="12" t="s">
        <v>52</v>
      </c>
      <c r="B30" s="13" t="n">
        <v>349</v>
      </c>
      <c r="C30" s="14" t="n">
        <v>0.15</v>
      </c>
      <c r="D30" s="15" t="n">
        <f aca="false">B30*(1-C30)</f>
        <v>296.65</v>
      </c>
      <c r="E30" s="8" t="n">
        <v>16</v>
      </c>
      <c r="F30" s="16" t="n">
        <f aca="false">B30+E30</f>
        <v>365</v>
      </c>
      <c r="G30" s="17" t="n">
        <v>131.85</v>
      </c>
      <c r="H30" s="7" t="n">
        <v>0.3778</v>
      </c>
      <c r="I30" s="18" t="n">
        <v>0.0316</v>
      </c>
      <c r="J30" s="14" t="n">
        <v>0.12</v>
      </c>
      <c r="K30" s="19" t="s">
        <v>53</v>
      </c>
    </row>
    <row r="31" customFormat="false" ht="16.5" hidden="false" customHeight="true" outlineLevel="0" collapsed="false">
      <c r="A31" s="12" t="s">
        <v>54</v>
      </c>
      <c r="B31" s="13" t="n">
        <v>429</v>
      </c>
      <c r="C31" s="14" t="n">
        <v>0.15</v>
      </c>
      <c r="D31" s="15" t="n">
        <f aca="false">B31*(1-C31)</f>
        <v>364.65</v>
      </c>
      <c r="E31" s="8" t="n">
        <v>0</v>
      </c>
      <c r="F31" s="16" t="n">
        <f aca="false">B31+E31</f>
        <v>429</v>
      </c>
      <c r="G31" s="17" t="n">
        <v>216.49</v>
      </c>
      <c r="H31" s="7" t="n">
        <v>0.50464662004662</v>
      </c>
      <c r="I31" s="18" t="n">
        <v>0</v>
      </c>
      <c r="J31" s="14" t="n">
        <v>0.04</v>
      </c>
      <c r="K31" s="19" t="s">
        <v>55</v>
      </c>
    </row>
    <row r="32" customFormat="false" ht="16.5" hidden="false" customHeight="true" outlineLevel="0" collapsed="false">
      <c r="A32" s="12" t="s">
        <v>56</v>
      </c>
      <c r="B32" s="13" t="n">
        <v>299</v>
      </c>
      <c r="C32" s="14" t="n">
        <v>0.15</v>
      </c>
      <c r="D32" s="15" t="n">
        <f aca="false">B32*(1-C32)</f>
        <v>254.15</v>
      </c>
      <c r="E32" s="8" t="n">
        <v>0</v>
      </c>
      <c r="F32" s="16" t="n">
        <f aca="false">B32+E32</f>
        <v>299</v>
      </c>
      <c r="G32" s="17" t="n">
        <v>147.02</v>
      </c>
      <c r="H32" s="7" t="n">
        <v>0.4917</v>
      </c>
      <c r="I32" s="18" t="n">
        <v>0</v>
      </c>
      <c r="J32" s="14" t="n">
        <v>0.02</v>
      </c>
      <c r="K32" s="19" t="s">
        <v>57</v>
      </c>
    </row>
    <row r="33" customFormat="false" ht="22.35" hidden="false" customHeight="true" outlineLevel="0" collapsed="false">
      <c r="A33" s="22" t="s">
        <v>58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</row>
    <row r="35" customFormat="false" ht="18" hidden="false" customHeight="true" outlineLevel="0" collapsed="false">
      <c r="A35" s="3" t="s">
        <v>59</v>
      </c>
      <c r="B35" s="3"/>
      <c r="C35" s="3"/>
      <c r="D35" s="3"/>
      <c r="E35" s="3"/>
      <c r="F35" s="3"/>
      <c r="G35" s="3"/>
      <c r="H35" s="3"/>
      <c r="I35" s="3"/>
      <c r="J35" s="3"/>
      <c r="K35" s="3"/>
    </row>
    <row r="36" customFormat="false" ht="19.5" hidden="false" customHeight="true" outlineLevel="0" collapsed="false">
      <c r="A36" s="11" t="s">
        <v>35</v>
      </c>
      <c r="B36" s="11" t="s">
        <v>44</v>
      </c>
      <c r="C36" s="11" t="s">
        <v>60</v>
      </c>
      <c r="D36" s="11" t="s">
        <v>61</v>
      </c>
      <c r="E36" s="11" t="s">
        <v>62</v>
      </c>
      <c r="F36" s="11" t="s">
        <v>63</v>
      </c>
      <c r="G36" s="11"/>
      <c r="H36" s="11"/>
      <c r="I36" s="11"/>
      <c r="J36" s="11"/>
      <c r="K36" s="11"/>
    </row>
    <row r="37" customFormat="false" ht="15" hidden="false" customHeight="false" outlineLevel="0" collapsed="false">
      <c r="A37" s="4" t="s">
        <v>46</v>
      </c>
      <c r="B37" s="23" t="n">
        <f aca="false">J27</f>
        <v>0.58</v>
      </c>
      <c r="C37" s="24" t="n">
        <f aca="false">B27</f>
        <v>269</v>
      </c>
      <c r="D37" s="25" t="n">
        <f aca="false">B37*C37</f>
        <v>156.02</v>
      </c>
      <c r="E37" s="25" t="n">
        <f aca="false">B37*C37*I27</f>
        <v>69.007646</v>
      </c>
      <c r="F37" s="25" t="n">
        <f aca="false">B37*G27</f>
        <v>32.422</v>
      </c>
      <c r="G37" s="26"/>
      <c r="H37" s="26"/>
      <c r="I37" s="26"/>
      <c r="J37" s="26"/>
      <c r="K37" s="26"/>
    </row>
    <row r="38" customFormat="false" ht="15" hidden="false" customHeight="false" outlineLevel="0" collapsed="false">
      <c r="A38" s="4" t="s">
        <v>48</v>
      </c>
      <c r="B38" s="23" t="n">
        <f aca="false">J28</f>
        <v>0.22</v>
      </c>
      <c r="C38" s="24" t="n">
        <f aca="false">B28</f>
        <v>319</v>
      </c>
      <c r="D38" s="25" t="n">
        <f aca="false">B38*C38</f>
        <v>70.18</v>
      </c>
      <c r="E38" s="25" t="n">
        <f aca="false">B38*C38*I28</f>
        <v>30.289688</v>
      </c>
      <c r="F38" s="25" t="n">
        <f aca="false">B38*G28</f>
        <v>1.7688</v>
      </c>
      <c r="G38" s="26"/>
      <c r="H38" s="26"/>
      <c r="I38" s="26"/>
      <c r="J38" s="26"/>
      <c r="K38" s="26"/>
    </row>
    <row r="39" customFormat="false" ht="15" hidden="false" customHeight="false" outlineLevel="0" collapsed="false">
      <c r="A39" s="4" t="s">
        <v>50</v>
      </c>
      <c r="B39" s="23" t="n">
        <f aca="false">J29</f>
        <v>0.02</v>
      </c>
      <c r="C39" s="24" t="n">
        <f aca="false">B29</f>
        <v>249</v>
      </c>
      <c r="D39" s="25" t="n">
        <f aca="false">B39*C39</f>
        <v>4.98</v>
      </c>
      <c r="E39" s="25" t="n">
        <f aca="false">B39*C39*I29</f>
        <v>0.629472</v>
      </c>
      <c r="F39" s="25" t="n">
        <f aca="false">B39*G29</f>
        <v>1.4288</v>
      </c>
      <c r="G39" s="26"/>
      <c r="H39" s="26"/>
      <c r="I39" s="26"/>
      <c r="J39" s="26"/>
      <c r="K39" s="26"/>
    </row>
    <row r="40" customFormat="false" ht="15" hidden="false" customHeight="false" outlineLevel="0" collapsed="false">
      <c r="A40" s="4" t="s">
        <v>52</v>
      </c>
      <c r="B40" s="23" t="n">
        <f aca="false">J30</f>
        <v>0.12</v>
      </c>
      <c r="C40" s="24" t="n">
        <f aca="false">B30</f>
        <v>349</v>
      </c>
      <c r="D40" s="25" t="n">
        <f aca="false">B40*C40</f>
        <v>41.88</v>
      </c>
      <c r="E40" s="25" t="n">
        <f aca="false">B40*C40*I30</f>
        <v>1.323408</v>
      </c>
      <c r="F40" s="25" t="n">
        <f aca="false">B40*G30</f>
        <v>15.822</v>
      </c>
      <c r="G40" s="26"/>
      <c r="H40" s="26"/>
      <c r="I40" s="26"/>
      <c r="J40" s="26"/>
      <c r="K40" s="26"/>
    </row>
    <row r="41" customFormat="false" ht="15" hidden="false" customHeight="false" outlineLevel="0" collapsed="false">
      <c r="A41" s="4" t="s">
        <v>54</v>
      </c>
      <c r="B41" s="23" t="n">
        <f aca="false">J31</f>
        <v>0.04</v>
      </c>
      <c r="C41" s="24" t="n">
        <f aca="false">B31</f>
        <v>429</v>
      </c>
      <c r="D41" s="25" t="n">
        <f aca="false">B41*C41</f>
        <v>17.16</v>
      </c>
      <c r="E41" s="25" t="n">
        <f aca="false">B41*C41*I31</f>
        <v>0</v>
      </c>
      <c r="F41" s="25" t="n">
        <f aca="false">B41*G31</f>
        <v>8.6596</v>
      </c>
      <c r="G41" s="26"/>
      <c r="H41" s="26"/>
      <c r="I41" s="26"/>
      <c r="J41" s="26"/>
      <c r="K41" s="26"/>
    </row>
    <row r="42" customFormat="false" ht="15" hidden="false" customHeight="false" outlineLevel="0" collapsed="false">
      <c r="A42" s="4" t="s">
        <v>56</v>
      </c>
      <c r="B42" s="23" t="n">
        <f aca="false">J32</f>
        <v>0.02</v>
      </c>
      <c r="C42" s="24" t="n">
        <f aca="false">B32</f>
        <v>299</v>
      </c>
      <c r="D42" s="25" t="n">
        <f aca="false">B42*C42</f>
        <v>5.98</v>
      </c>
      <c r="E42" s="25" t="n">
        <f aca="false">B42*C42*I32</f>
        <v>0</v>
      </c>
      <c r="F42" s="25" t="n">
        <f aca="false">B42*G32</f>
        <v>2.9404</v>
      </c>
      <c r="G42" s="26"/>
      <c r="H42" s="26"/>
      <c r="I42" s="26"/>
      <c r="J42" s="26"/>
      <c r="K42" s="26"/>
    </row>
    <row r="43" customFormat="false" ht="15" hidden="false" customHeight="true" outlineLevel="0" collapsed="false">
      <c r="A43" s="27" t="s">
        <v>64</v>
      </c>
      <c r="B43" s="28" t="n">
        <f aca="false">SUM(B37:B42)</f>
        <v>1</v>
      </c>
      <c r="C43" s="29" t="s">
        <v>65</v>
      </c>
      <c r="D43" s="30" t="n">
        <f aca="false">SUM(D37:D42)</f>
        <v>296.2</v>
      </c>
      <c r="E43" s="30" t="n">
        <f aca="false">SUM(E37:E42)</f>
        <v>101.250214</v>
      </c>
      <c r="F43" s="30" t="n">
        <f aca="false">SUM(F37:F42)</f>
        <v>63.0416</v>
      </c>
      <c r="G43" s="31" t="s">
        <v>66</v>
      </c>
      <c r="H43" s="31"/>
      <c r="I43" s="31"/>
      <c r="J43" s="31"/>
      <c r="K43" s="31"/>
    </row>
    <row r="45" customFormat="false" ht="18" hidden="false" customHeight="true" outlineLevel="0" collapsed="false">
      <c r="A45" s="3" t="s">
        <v>67</v>
      </c>
      <c r="B45" s="3"/>
      <c r="C45" s="3"/>
      <c r="D45" s="3"/>
      <c r="E45" s="3"/>
      <c r="F45" s="3"/>
      <c r="G45" s="3"/>
      <c r="H45" s="3"/>
      <c r="I45" s="3"/>
      <c r="J45" s="3"/>
      <c r="K45" s="3"/>
    </row>
    <row r="46" customFormat="false" ht="15" hidden="false" customHeight="true" outlineLevel="0" collapsed="false">
      <c r="A46" s="12" t="s">
        <v>68</v>
      </c>
      <c r="B46" s="25" t="n">
        <f aca="false">D43</f>
        <v>296.2</v>
      </c>
      <c r="C46" s="6" t="s">
        <v>69</v>
      </c>
      <c r="D46" s="6"/>
      <c r="E46" s="6"/>
      <c r="F46" s="6"/>
      <c r="G46" s="6"/>
      <c r="H46" s="6"/>
      <c r="I46" s="6"/>
      <c r="J46" s="6"/>
      <c r="K46" s="6"/>
    </row>
    <row r="47" customFormat="false" ht="15" hidden="false" customHeight="true" outlineLevel="0" collapsed="false">
      <c r="A47" s="12" t="s">
        <v>70</v>
      </c>
      <c r="B47" s="25" t="n">
        <f aca="false">E43</f>
        <v>101.250214</v>
      </c>
      <c r="C47" s="6" t="s">
        <v>71</v>
      </c>
      <c r="D47" s="6"/>
      <c r="E47" s="6"/>
      <c r="F47" s="6"/>
      <c r="G47" s="6"/>
      <c r="H47" s="6"/>
      <c r="I47" s="6"/>
      <c r="J47" s="6"/>
      <c r="K47" s="6"/>
    </row>
    <row r="48" customFormat="false" ht="15" hidden="false" customHeight="true" outlineLevel="0" collapsed="false">
      <c r="A48" s="32" t="s">
        <v>72</v>
      </c>
      <c r="B48" s="33" t="n">
        <f aca="false">F43</f>
        <v>63.0416</v>
      </c>
      <c r="C48" s="6" t="s">
        <v>73</v>
      </c>
      <c r="D48" s="6"/>
      <c r="E48" s="6"/>
      <c r="F48" s="6"/>
      <c r="G48" s="6"/>
      <c r="H48" s="6"/>
      <c r="I48" s="6"/>
      <c r="J48" s="6"/>
      <c r="K48" s="6"/>
    </row>
    <row r="49" customFormat="false" ht="15" hidden="false" customHeight="false" outlineLevel="0" collapsed="false">
      <c r="A49" s="12" t="s">
        <v>74</v>
      </c>
      <c r="B49" s="7" t="n">
        <f aca="false">IFERROR(B48/B46,0)</f>
        <v>0.212834571235652</v>
      </c>
      <c r="C49" s="6"/>
      <c r="D49" s="6"/>
      <c r="E49" s="6"/>
      <c r="F49" s="6"/>
      <c r="G49" s="6"/>
      <c r="H49" s="6"/>
      <c r="I49" s="6"/>
      <c r="J49" s="6"/>
      <c r="K49" s="6"/>
    </row>
    <row r="50" customFormat="false" ht="15" hidden="false" customHeight="false" outlineLevel="0" collapsed="false">
      <c r="A50" s="4"/>
      <c r="B50" s="5"/>
      <c r="C50" s="6"/>
      <c r="D50" s="6"/>
      <c r="E50" s="6"/>
      <c r="F50" s="6"/>
      <c r="G50" s="6"/>
      <c r="H50" s="6"/>
      <c r="I50" s="6"/>
      <c r="J50" s="6"/>
      <c r="K50" s="6"/>
    </row>
    <row r="51" customFormat="false" ht="15" hidden="false" customHeight="false" outlineLevel="0" collapsed="false">
      <c r="A51" s="12" t="s">
        <v>22</v>
      </c>
      <c r="B51" s="34" t="n">
        <f aca="false">$B$16</f>
        <v>315712</v>
      </c>
      <c r="C51" s="6"/>
      <c r="D51" s="6"/>
      <c r="E51" s="6"/>
      <c r="F51" s="6"/>
      <c r="G51" s="6"/>
      <c r="H51" s="6"/>
      <c r="I51" s="6"/>
      <c r="J51" s="6"/>
      <c r="K51" s="6"/>
    </row>
    <row r="52" customFormat="false" ht="15" hidden="false" customHeight="false" outlineLevel="0" collapsed="false">
      <c r="A52" s="12" t="s">
        <v>75</v>
      </c>
      <c r="B52" s="34" t="n">
        <f aca="false">$B$17</f>
        <v>50000</v>
      </c>
      <c r="C52" s="6"/>
      <c r="D52" s="6"/>
      <c r="E52" s="6"/>
      <c r="F52" s="6"/>
      <c r="G52" s="6"/>
      <c r="H52" s="6"/>
      <c r="I52" s="6"/>
      <c r="J52" s="6"/>
      <c r="K52" s="6"/>
    </row>
    <row r="53" customFormat="false" ht="15" hidden="false" customHeight="false" outlineLevel="0" collapsed="false">
      <c r="A53" s="12" t="s">
        <v>76</v>
      </c>
      <c r="B53" s="34" t="n">
        <f aca="false">B51+B52</f>
        <v>365712</v>
      </c>
      <c r="C53" s="6"/>
      <c r="D53" s="6"/>
      <c r="E53" s="6"/>
      <c r="F53" s="6"/>
      <c r="G53" s="6"/>
      <c r="H53" s="6"/>
      <c r="I53" s="6"/>
      <c r="J53" s="6"/>
      <c r="K53" s="6"/>
    </row>
    <row r="54" customFormat="false" ht="15" hidden="false" customHeight="false" outlineLevel="0" collapsed="false">
      <c r="A54" s="4"/>
      <c r="B54" s="5"/>
      <c r="C54" s="6"/>
      <c r="D54" s="6"/>
      <c r="E54" s="6"/>
      <c r="F54" s="6"/>
      <c r="G54" s="6"/>
      <c r="H54" s="6"/>
      <c r="I54" s="6"/>
      <c r="J54" s="6"/>
      <c r="K54" s="6"/>
    </row>
    <row r="55" customFormat="false" ht="15" hidden="false" customHeight="true" outlineLevel="0" collapsed="false">
      <c r="A55" s="32" t="s">
        <v>77</v>
      </c>
      <c r="B55" s="35" t="n">
        <f aca="false">IFERROR(B53/B48,"N/A")</f>
        <v>5801.12179893911</v>
      </c>
      <c r="C55" s="6" t="s">
        <v>78</v>
      </c>
      <c r="D55" s="6"/>
      <c r="E55" s="6"/>
      <c r="F55" s="6"/>
      <c r="G55" s="6"/>
      <c r="H55" s="6"/>
      <c r="I55" s="6"/>
      <c r="J55" s="6"/>
      <c r="K55" s="6"/>
    </row>
    <row r="56" customFormat="false" ht="15" hidden="false" customHeight="false" outlineLevel="0" collapsed="false">
      <c r="A56" s="12" t="s">
        <v>79</v>
      </c>
      <c r="B56" s="34" t="n">
        <f aca="false">IFERROR(B55*B46,"N/A")</f>
        <v>1718292.27684577</v>
      </c>
      <c r="C56" s="6"/>
      <c r="D56" s="6"/>
      <c r="E56" s="6"/>
      <c r="F56" s="6"/>
      <c r="G56" s="6"/>
      <c r="H56" s="6"/>
      <c r="I56" s="6"/>
      <c r="J56" s="6"/>
      <c r="K56" s="6"/>
    </row>
    <row r="57" customFormat="false" ht="15" hidden="false" customHeight="true" outlineLevel="0" collapsed="false">
      <c r="A57" s="32" t="s">
        <v>80</v>
      </c>
      <c r="B57" s="35" t="n">
        <f aca="false">IFERROR((B22+B53)/B48,"N/A")</f>
        <v>19680.8456638156</v>
      </c>
      <c r="C57" s="6" t="s">
        <v>81</v>
      </c>
      <c r="D57" s="6"/>
      <c r="E57" s="6"/>
      <c r="F57" s="6"/>
      <c r="G57" s="6"/>
      <c r="H57" s="6"/>
      <c r="I57" s="6"/>
      <c r="J57" s="6"/>
      <c r="K57" s="6"/>
    </row>
  </sheetData>
  <mergeCells count="37">
    <mergeCell ref="A1:K1"/>
    <mergeCell ref="A2:K2"/>
    <mergeCell ref="A4:K4"/>
    <mergeCell ref="C5:K5"/>
    <mergeCell ref="C6:K6"/>
    <mergeCell ref="C7:K7"/>
    <mergeCell ref="C8:K8"/>
    <mergeCell ref="C9:K9"/>
    <mergeCell ref="C10:K10"/>
    <mergeCell ref="C11:K11"/>
    <mergeCell ref="C12:K12"/>
    <mergeCell ref="A14:K14"/>
    <mergeCell ref="C15:K15"/>
    <mergeCell ref="C16:K16"/>
    <mergeCell ref="C17:K17"/>
    <mergeCell ref="C18:K18"/>
    <mergeCell ref="A20:K20"/>
    <mergeCell ref="C21:K21"/>
    <mergeCell ref="C22:K22"/>
    <mergeCell ref="C23:K23"/>
    <mergeCell ref="A25:K25"/>
    <mergeCell ref="A33:K33"/>
    <mergeCell ref="A35:K35"/>
    <mergeCell ref="G43:K43"/>
    <mergeCell ref="A45:K45"/>
    <mergeCell ref="C46:K46"/>
    <mergeCell ref="C47:K47"/>
    <mergeCell ref="C48:K48"/>
    <mergeCell ref="C49:K49"/>
    <mergeCell ref="C50:K50"/>
    <mergeCell ref="C51:K51"/>
    <mergeCell ref="C52:K52"/>
    <mergeCell ref="C53:K53"/>
    <mergeCell ref="C54:K54"/>
    <mergeCell ref="C55:K55"/>
    <mergeCell ref="C56:K56"/>
    <mergeCell ref="C57:K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9" min="4" style="0" width="10"/>
    <col collapsed="false" customWidth="true" hidden="false" outlineLevel="0" max="12" min="10" style="0" width="14"/>
    <col collapsed="false" customWidth="true" hidden="false" outlineLevel="0" max="13" min="13" style="0" width="10"/>
    <col collapsed="false" customWidth="true" hidden="false" outlineLevel="0" max="15" min="14" style="0" width="16"/>
  </cols>
  <sheetData>
    <row r="1" customFormat="false" ht="25.5" hidden="false" customHeight="true" outlineLevel="0" collapsed="false">
      <c r="A1" s="36" t="s">
        <v>82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customFormat="false" ht="22.35" hidden="false" customHeight="true" outlineLevel="0" collapsed="false">
      <c r="A2" s="2" t="s">
        <v>83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.75" hidden="false" customHeight="true" outlineLevel="0" collapsed="false">
      <c r="A3" s="37" t="s">
        <v>84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</row>
    <row r="4" customFormat="false" ht="36" hidden="false" customHeight="true" outlineLevel="0" collapsed="false">
      <c r="A4" s="11" t="s">
        <v>85</v>
      </c>
      <c r="B4" s="11" t="s">
        <v>86</v>
      </c>
      <c r="C4" s="11" t="s">
        <v>87</v>
      </c>
      <c r="D4" s="11" t="s">
        <v>88</v>
      </c>
      <c r="E4" s="11" t="s">
        <v>89</v>
      </c>
      <c r="F4" s="11" t="s">
        <v>90</v>
      </c>
      <c r="G4" s="11" t="s">
        <v>91</v>
      </c>
      <c r="H4" s="11" t="s">
        <v>92</v>
      </c>
      <c r="I4" s="11" t="s">
        <v>93</v>
      </c>
      <c r="J4" s="11" t="s">
        <v>94</v>
      </c>
      <c r="K4" s="11" t="s">
        <v>95</v>
      </c>
      <c r="L4" s="11" t="s">
        <v>96</v>
      </c>
      <c r="M4" s="11" t="s">
        <v>97</v>
      </c>
      <c r="N4" s="11" t="s">
        <v>98</v>
      </c>
      <c r="O4" s="11" t="s">
        <v>99</v>
      </c>
    </row>
    <row r="5" customFormat="false" ht="25.5" hidden="false" customHeight="true" outlineLevel="0" collapsed="false">
      <c r="A5" s="38" t="s">
        <v>100</v>
      </c>
      <c r="B5" s="38"/>
      <c r="C5" s="39" t="n">
        <v>4179</v>
      </c>
      <c r="D5" s="40" t="s">
        <v>101</v>
      </c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</row>
    <row r="6" customFormat="false" ht="15" hidden="false" customHeight="true" outlineLevel="0" collapsed="false">
      <c r="A6" s="5" t="s">
        <v>102</v>
      </c>
      <c r="B6" s="41" t="s">
        <v>103</v>
      </c>
      <c r="C6" s="42" t="n">
        <f aca="false">ROUND($C$5*(17/30),0)</f>
        <v>2368</v>
      </c>
      <c r="D6" s="43" t="n">
        <f aca="false">ROUND(C6*0.58,0)</f>
        <v>1373</v>
      </c>
      <c r="E6" s="43" t="n">
        <f aca="false">ROUND(C6*0.22,0)</f>
        <v>521</v>
      </c>
      <c r="F6" s="43" t="n">
        <f aca="false">ROUND(C6*0.02,0)</f>
        <v>47</v>
      </c>
      <c r="G6" s="43" t="n">
        <f aca="false">ROUND(C6*0.12,0)</f>
        <v>284</v>
      </c>
      <c r="H6" s="44" t="n">
        <v>0</v>
      </c>
      <c r="I6" s="44" t="n">
        <v>0</v>
      </c>
      <c r="J6" s="34" t="n">
        <f aca="false">D6*269+E6*319+F6*249+G6*349+H6*429+I6*299</f>
        <v>646355</v>
      </c>
      <c r="K6" s="34" t="n">
        <f aca="false">D6*269*0.4423+E6*319*0.4316+F6*249*0.1264+G6*349*0.0316</f>
        <v>239700.5683</v>
      </c>
      <c r="L6" s="34" t="n">
        <f aca="false">D6*55.9+E6*8.04+F6*71.44+G6*131.85+H6*216.49+I6*147.02</f>
        <v>121742.62</v>
      </c>
      <c r="M6" s="7" t="n">
        <f aca="false">IFERROR(L6/J6,0)</f>
        <v>0.188352561672765</v>
      </c>
      <c r="N6" s="34" t="n">
        <f aca="false">L6</f>
        <v>121742.62</v>
      </c>
      <c r="O6" s="45" t="n">
        <f aca="false">N6-875000</f>
        <v>-753257.38</v>
      </c>
    </row>
    <row r="7" customFormat="false" ht="15" hidden="false" customHeight="true" outlineLevel="0" collapsed="false">
      <c r="A7" s="46" t="s">
        <v>104</v>
      </c>
      <c r="B7" s="47" t="s">
        <v>105</v>
      </c>
      <c r="C7" s="48" t="n">
        <f aca="false">$C$5</f>
        <v>4179</v>
      </c>
      <c r="D7" s="43" t="n">
        <f aca="false">ROUND(C7*0.58,0)</f>
        <v>2424</v>
      </c>
      <c r="E7" s="43" t="n">
        <f aca="false">ROUND(C7*0.22,0)</f>
        <v>919</v>
      </c>
      <c r="F7" s="43" t="n">
        <f aca="false">ROUND(C7*0.02,0)</f>
        <v>84</v>
      </c>
      <c r="G7" s="43" t="n">
        <f aca="false">ROUND(C7*0.12,0)</f>
        <v>501</v>
      </c>
      <c r="H7" s="43" t="n">
        <f aca="false">ROUND(C7*0.04,0)</f>
        <v>167</v>
      </c>
      <c r="I7" s="44" t="n">
        <v>0</v>
      </c>
      <c r="J7" s="34" t="n">
        <f aca="false">D7*269+E7*319+F7*249+G7*349+H7*429+I7*299</f>
        <v>1212625</v>
      </c>
      <c r="K7" s="34" t="n">
        <f aca="false">D7*269*0.4423+E7*319*0.4316+F7*249*0.1264+G7*349*0.0316</f>
        <v>423101.6672</v>
      </c>
      <c r="L7" s="34" t="n">
        <f aca="false">D7*55.9+E7*8.04+F7*71.44+G7*131.85+H7*216.49+I7*147.02</f>
        <v>251102</v>
      </c>
      <c r="M7" s="7" t="n">
        <f aca="false">IFERROR(L7/J7,0)</f>
        <v>0.207073085248943</v>
      </c>
      <c r="N7" s="34" t="n">
        <f aca="false">N6+L7</f>
        <v>372844.62</v>
      </c>
      <c r="O7" s="45" t="n">
        <f aca="false">N7-875000</f>
        <v>-502155.38</v>
      </c>
    </row>
    <row r="8" customFormat="false" ht="15" hidden="false" customHeight="true" outlineLevel="0" collapsed="false">
      <c r="A8" s="46" t="s">
        <v>106</v>
      </c>
      <c r="B8" s="47" t="s">
        <v>105</v>
      </c>
      <c r="C8" s="48" t="n">
        <f aca="false">$C$5</f>
        <v>4179</v>
      </c>
      <c r="D8" s="43" t="n">
        <f aca="false">ROUND(C8*0.58,0)</f>
        <v>2424</v>
      </c>
      <c r="E8" s="43" t="n">
        <f aca="false">ROUND(C8*0.22,0)</f>
        <v>919</v>
      </c>
      <c r="F8" s="43" t="n">
        <f aca="false">ROUND(C8*0.02,0)</f>
        <v>84</v>
      </c>
      <c r="G8" s="43" t="n">
        <f aca="false">ROUND(C8*0.12,0)</f>
        <v>501</v>
      </c>
      <c r="H8" s="43" t="n">
        <f aca="false">ROUND(C8*0.04,0)</f>
        <v>167</v>
      </c>
      <c r="I8" s="44" t="n">
        <v>0</v>
      </c>
      <c r="J8" s="34" t="n">
        <f aca="false">D8*269+E8*319+F8*249+G8*349+H8*429+I8*299</f>
        <v>1212625</v>
      </c>
      <c r="K8" s="34" t="n">
        <f aca="false">D8*269*0.4423+E8*319*0.4316+F8*249*0.1264+G8*349*0.0316</f>
        <v>423101.6672</v>
      </c>
      <c r="L8" s="34" t="n">
        <f aca="false">D8*55.9+E8*8.04+F8*71.44+G8*131.85+H8*216.49+I8*147.02</f>
        <v>251102</v>
      </c>
      <c r="M8" s="7" t="n">
        <f aca="false">IFERROR(L8/J8,0)</f>
        <v>0.207073085248943</v>
      </c>
      <c r="N8" s="34" t="n">
        <f aca="false">N7+L8</f>
        <v>623946.62</v>
      </c>
      <c r="O8" s="45" t="n">
        <f aca="false">N8-875000</f>
        <v>-251053.38</v>
      </c>
    </row>
    <row r="9" customFormat="false" ht="15" hidden="false" customHeight="true" outlineLevel="0" collapsed="false">
      <c r="A9" s="49" t="s">
        <v>107</v>
      </c>
      <c r="B9" s="50" t="s">
        <v>108</v>
      </c>
      <c r="C9" s="48" t="n">
        <f aca="false">$C$5</f>
        <v>4179</v>
      </c>
      <c r="D9" s="43" t="n">
        <f aca="false">ROUND(C9*0.58,0)</f>
        <v>2424</v>
      </c>
      <c r="E9" s="43" t="n">
        <f aca="false">ROUND(C9*0.22,0)</f>
        <v>919</v>
      </c>
      <c r="F9" s="43" t="n">
        <f aca="false">ROUND(C9*0.02,0)</f>
        <v>84</v>
      </c>
      <c r="G9" s="43" t="n">
        <f aca="false">ROUND(C9*0.12,0)</f>
        <v>501</v>
      </c>
      <c r="H9" s="43" t="n">
        <f aca="false">ROUND(C9*0.04,0)</f>
        <v>167</v>
      </c>
      <c r="I9" s="44" t="n">
        <v>0</v>
      </c>
      <c r="J9" s="34" t="n">
        <f aca="false">D9*269+E9*319+F9*249+G9*349+H9*429+I9*299</f>
        <v>1212625</v>
      </c>
      <c r="K9" s="34" t="n">
        <f aca="false">D9*269*0.4423+E9*319*0.4316+F9*249*0.1264+G9*349*0.0316</f>
        <v>423101.6672</v>
      </c>
      <c r="L9" s="34" t="n">
        <f aca="false">D9*55.9+E9*8.04+F9*71.44+G9*131.85+H9*216.49+I9*147.02</f>
        <v>251102</v>
      </c>
      <c r="M9" s="7" t="n">
        <f aca="false">IFERROR(L9/J9,0)</f>
        <v>0.207073085248943</v>
      </c>
      <c r="N9" s="34" t="n">
        <f aca="false">N8+L9</f>
        <v>875048.62</v>
      </c>
      <c r="O9" s="51" t="n">
        <f aca="false">N9-875000</f>
        <v>48.6199999999953</v>
      </c>
    </row>
    <row r="10" customFormat="false" ht="15" hidden="false" customHeight="true" outlineLevel="0" collapsed="false">
      <c r="A10" s="5" t="s">
        <v>109</v>
      </c>
      <c r="B10" s="41" t="s">
        <v>110</v>
      </c>
      <c r="C10" s="42" t="n">
        <f aca="false">ROUND($C$5*0.8,0)</f>
        <v>3343</v>
      </c>
      <c r="D10" s="43" t="n">
        <f aca="false">ROUND(C10*0.58,0)</f>
        <v>1939</v>
      </c>
      <c r="E10" s="43" t="n">
        <f aca="false">ROUND(C10*0.22,0)</f>
        <v>735</v>
      </c>
      <c r="F10" s="43" t="n">
        <f aca="false">ROUND(C10*0.02,0)</f>
        <v>67</v>
      </c>
      <c r="G10" s="43" t="n">
        <f aca="false">ROUND(C10*0.12,0)</f>
        <v>401</v>
      </c>
      <c r="H10" s="43" t="n">
        <f aca="false">ROUND(C10*0.04,0)</f>
        <v>134</v>
      </c>
      <c r="I10" s="44" t="n">
        <v>0</v>
      </c>
      <c r="J10" s="34" t="n">
        <f aca="false">D10*269+E10*319+F10*249+G10*349+H10*429+I10*299</f>
        <v>970174</v>
      </c>
      <c r="K10" s="34" t="n">
        <f aca="false">D10*269*0.4423+E10*319*0.4316+F10*249*0.1264+G10*349*0.0316</f>
        <v>338425.9129</v>
      </c>
      <c r="L10" s="34" t="n">
        <f aca="false">D10*55.9+E10*8.04+F10*71.44+G10*131.85+H10*216.49+I10*147.02</f>
        <v>200967.49</v>
      </c>
      <c r="M10" s="7" t="n">
        <f aca="false">IFERROR(L10/J10,0)</f>
        <v>0.207145821265051</v>
      </c>
      <c r="N10" s="34" t="n">
        <f aca="false">N9+L10</f>
        <v>1076016.11</v>
      </c>
      <c r="O10" s="45" t="n">
        <f aca="false">N10-875000</f>
        <v>201016.11</v>
      </c>
    </row>
    <row r="11" customFormat="false" ht="15" hidden="false" customHeight="true" outlineLevel="0" collapsed="false">
      <c r="A11" s="5" t="s">
        <v>111</v>
      </c>
      <c r="B11" s="41" t="s">
        <v>112</v>
      </c>
      <c r="C11" s="42" t="n">
        <f aca="false">ROUND($C$5*0.6508,0)</f>
        <v>2720</v>
      </c>
      <c r="D11" s="43" t="n">
        <f aca="false">ROUND(C11*0.58,0)</f>
        <v>1578</v>
      </c>
      <c r="E11" s="43" t="n">
        <f aca="false">ROUND(C11*0.22,0)</f>
        <v>598</v>
      </c>
      <c r="F11" s="43" t="n">
        <f aca="false">ROUND(C11*0.02,0)</f>
        <v>54</v>
      </c>
      <c r="G11" s="43" t="n">
        <f aca="false">ROUND(C11*0.12,0)</f>
        <v>326</v>
      </c>
      <c r="H11" s="43" t="n">
        <f aca="false">ROUND(C11*0.04,0)</f>
        <v>109</v>
      </c>
      <c r="I11" s="44" t="n">
        <v>0</v>
      </c>
      <c r="J11" s="34" t="n">
        <f aca="false">D11*269+E11*319+F11*249+G11*349+H11*429+I11*299</f>
        <v>789225</v>
      </c>
      <c r="K11" s="34" t="n">
        <f aca="false">D11*269*0.4423+E11*319*0.4316+F11*249*0.1264+G11*349*0.0316</f>
        <v>275376.1006</v>
      </c>
      <c r="L11" s="34" t="n">
        <f aca="false">D11*55.9+E11*8.04+F11*71.44+G11*131.85+H11*216.49+I11*147.02</f>
        <v>163456.39</v>
      </c>
      <c r="M11" s="7" t="n">
        <f aca="false">IFERROR(L11/J11,0)</f>
        <v>0.207110000316766</v>
      </c>
      <c r="N11" s="34" t="n">
        <f aca="false">N10+L11</f>
        <v>1239472.5</v>
      </c>
      <c r="O11" s="45" t="n">
        <f aca="false">N11-875000</f>
        <v>364472.5</v>
      </c>
    </row>
    <row r="12" customFormat="false" ht="15" hidden="false" customHeight="true" outlineLevel="0" collapsed="false">
      <c r="A12" s="5" t="s">
        <v>113</v>
      </c>
      <c r="B12" s="41" t="s">
        <v>114</v>
      </c>
      <c r="C12" s="42" t="n">
        <f aca="false">ROUND($C$5*0.5508,0)</f>
        <v>2302</v>
      </c>
      <c r="D12" s="43" t="n">
        <f aca="false">ROUND(C12*0.58,0)</f>
        <v>1335</v>
      </c>
      <c r="E12" s="43" t="n">
        <f aca="false">ROUND(C12*0.22,0)</f>
        <v>506</v>
      </c>
      <c r="F12" s="43" t="n">
        <f aca="false">ROUND(C12*0.02,0)</f>
        <v>46</v>
      </c>
      <c r="G12" s="43" t="n">
        <f aca="false">ROUND(C12*0.12,0)</f>
        <v>276</v>
      </c>
      <c r="H12" s="43" t="n">
        <f aca="false">ROUND(C12*0.04,0)</f>
        <v>92</v>
      </c>
      <c r="I12" s="44" t="n">
        <v>0</v>
      </c>
      <c r="J12" s="34" t="n">
        <f aca="false">D12*269+E12*319+F12*249+G12*349+H12*429+I12*299</f>
        <v>667775</v>
      </c>
      <c r="K12" s="34" t="n">
        <f aca="false">D12*269*0.4423+E12*319*0.4316+F12*249*0.1264+G12*349*0.0316</f>
        <v>232994.4709</v>
      </c>
      <c r="L12" s="34" t="n">
        <f aca="false">D12*55.9+E12*8.04+F12*71.44+G12*131.85+H12*216.49+I12*147.02</f>
        <v>138288.66</v>
      </c>
      <c r="M12" s="7" t="n">
        <f aca="false">IFERROR(L12/J12,0)</f>
        <v>0.207088705027891</v>
      </c>
      <c r="N12" s="34" t="n">
        <f aca="false">N11+L12</f>
        <v>1377761.16</v>
      </c>
      <c r="O12" s="45" t="n">
        <f aca="false">N12-875000</f>
        <v>502761.16</v>
      </c>
    </row>
    <row r="13" customFormat="false" ht="15" hidden="false" customHeight="true" outlineLevel="0" collapsed="false">
      <c r="A13" s="5" t="s">
        <v>115</v>
      </c>
      <c r="B13" s="41" t="s">
        <v>116</v>
      </c>
      <c r="C13" s="42" t="n">
        <f aca="false">ROUND($C$5*0.4508,0)</f>
        <v>1884</v>
      </c>
      <c r="D13" s="43" t="n">
        <f aca="false">ROUND(C13*0.58,0)</f>
        <v>1093</v>
      </c>
      <c r="E13" s="43" t="n">
        <f aca="false">ROUND(C13*0.22,0)</f>
        <v>414</v>
      </c>
      <c r="F13" s="43" t="n">
        <f aca="false">ROUND(C13*0.02,0)</f>
        <v>38</v>
      </c>
      <c r="G13" s="43" t="n">
        <f aca="false">ROUND(C13*0.12,0)</f>
        <v>226</v>
      </c>
      <c r="H13" s="43" t="n">
        <f aca="false">ROUND(C13*0.04,0)</f>
        <v>75</v>
      </c>
      <c r="I13" s="43" t="n">
        <f aca="false">ROUND(C13*0.02,0)</f>
        <v>38</v>
      </c>
      <c r="J13" s="34" t="n">
        <f aca="false">D13*269+E13*319+F13*249+G13*349+H13*429+I13*299</f>
        <v>557956</v>
      </c>
      <c r="K13" s="34" t="n">
        <f aca="false">D13*269*0.4423+E13*319*0.4316+F13*249*0.1264+G13*349*0.0316</f>
        <v>190731.8199</v>
      </c>
      <c r="L13" s="34" t="n">
        <f aca="false">D13*55.9+E13*8.04+F13*71.44+G13*131.85+H13*216.49+I13*147.02</f>
        <v>118763.59</v>
      </c>
      <c r="M13" s="7" t="n">
        <f aca="false">IFERROR(L13/J13,0)</f>
        <v>0.212854759156636</v>
      </c>
      <c r="N13" s="34" t="n">
        <f aca="false">N12+L13</f>
        <v>1496524.75</v>
      </c>
      <c r="O13" s="45" t="n">
        <f aca="false">N13-875000</f>
        <v>621524.75</v>
      </c>
    </row>
    <row r="14" customFormat="false" ht="15" hidden="false" customHeight="true" outlineLevel="0" collapsed="false">
      <c r="A14" s="5" t="s">
        <v>117</v>
      </c>
      <c r="B14" s="41" t="s">
        <v>118</v>
      </c>
      <c r="C14" s="42" t="n">
        <f aca="false">ROUND($C$5*0.38,0)</f>
        <v>1588</v>
      </c>
      <c r="D14" s="43" t="n">
        <f aca="false">ROUND(C14*0.58,0)</f>
        <v>921</v>
      </c>
      <c r="E14" s="43" t="n">
        <f aca="false">ROUND(C14*0.22,0)</f>
        <v>349</v>
      </c>
      <c r="F14" s="43" t="n">
        <f aca="false">ROUND(C14*0.02,0)</f>
        <v>32</v>
      </c>
      <c r="G14" s="43" t="n">
        <f aca="false">ROUND(C14*0.12,0)</f>
        <v>191</v>
      </c>
      <c r="H14" s="43" t="n">
        <f aca="false">ROUND(C14*0.04,0)</f>
        <v>64</v>
      </c>
      <c r="I14" s="44" t="n">
        <v>0</v>
      </c>
      <c r="J14" s="34" t="n">
        <f aca="false">D14*269+E14*319+F14*249+G14*349+H14*429+I14*299</f>
        <v>461163</v>
      </c>
      <c r="K14" s="34" t="n">
        <f aca="false">D14*269*0.4423+E14*319*0.4316+F14*249*0.1264+G14*349*0.0316</f>
        <v>160743.4219</v>
      </c>
      <c r="L14" s="34" t="n">
        <f aca="false">D14*55.9+E14*8.04+F14*71.44+G14*131.85+H14*216.49+I14*147.02</f>
        <v>95614.65</v>
      </c>
      <c r="M14" s="7" t="n">
        <f aca="false">IFERROR(L14/J14,0)</f>
        <v>0.207333740998302</v>
      </c>
      <c r="N14" s="34" t="n">
        <f aca="false">N13+L14</f>
        <v>1592139.4</v>
      </c>
      <c r="O14" s="45" t="n">
        <f aca="false">N14-875000</f>
        <v>717139.4</v>
      </c>
    </row>
    <row r="15" customFormat="false" ht="15" hidden="false" customHeight="true" outlineLevel="0" collapsed="false">
      <c r="A15" s="5" t="s">
        <v>119</v>
      </c>
      <c r="B15" s="41" t="s">
        <v>120</v>
      </c>
      <c r="C15" s="42" t="n">
        <f aca="false">ROUND($C$5*0.32,0)</f>
        <v>1337</v>
      </c>
      <c r="D15" s="43" t="n">
        <f aca="false">ROUND(C15*0.58,0)</f>
        <v>775</v>
      </c>
      <c r="E15" s="43" t="n">
        <f aca="false">ROUND(C15*0.22,0)</f>
        <v>294</v>
      </c>
      <c r="F15" s="43" t="n">
        <f aca="false">ROUND(C15*0.02,0)</f>
        <v>27</v>
      </c>
      <c r="G15" s="43" t="n">
        <f aca="false">ROUND(C15*0.12,0)</f>
        <v>160</v>
      </c>
      <c r="H15" s="43" t="n">
        <f aca="false">ROUND(C15*0.04,0)</f>
        <v>53</v>
      </c>
      <c r="I15" s="44" t="n">
        <v>0</v>
      </c>
      <c r="J15" s="34" t="n">
        <f aca="false">D15*269+E15*319+F15*249+G15*349+H15*429+I15*299</f>
        <v>387561</v>
      </c>
      <c r="K15" s="34" t="n">
        <f aca="false">D15*269*0.4423+E15*319*0.4316+F15*249*0.1264+G15*349*0.0316</f>
        <v>135300.8613</v>
      </c>
      <c r="L15" s="34" t="n">
        <f aca="false">D15*55.9+E15*8.04+F15*71.44+G15*131.85+H15*216.49+I15*147.02</f>
        <v>80185.11</v>
      </c>
      <c r="M15" s="7" t="n">
        <f aca="false">IFERROR(L15/J15,0)</f>
        <v>0.206896746576668</v>
      </c>
      <c r="N15" s="34" t="n">
        <f aca="false">N14+L15</f>
        <v>1672324.51</v>
      </c>
      <c r="O15" s="45" t="n">
        <f aca="false">N15-875000</f>
        <v>797324.51</v>
      </c>
    </row>
    <row r="16" customFormat="false" ht="15" hidden="false" customHeight="true" outlineLevel="0" collapsed="false">
      <c r="A16" s="5" t="s">
        <v>121</v>
      </c>
      <c r="B16" s="41" t="s">
        <v>122</v>
      </c>
      <c r="C16" s="42" t="n">
        <f aca="false">ROUND($C$5*0.2708,0)</f>
        <v>1132</v>
      </c>
      <c r="D16" s="43" t="n">
        <f aca="false">ROUND(C16*0.58,0)</f>
        <v>657</v>
      </c>
      <c r="E16" s="43" t="n">
        <f aca="false">ROUND(C16*0.22,0)</f>
        <v>249</v>
      </c>
      <c r="F16" s="43" t="n">
        <f aca="false">ROUND(C16*0.02,0)</f>
        <v>23</v>
      </c>
      <c r="G16" s="43" t="n">
        <f aca="false">ROUND(C16*0.12,0)</f>
        <v>136</v>
      </c>
      <c r="H16" s="43" t="n">
        <f aca="false">ROUND(C16*0.04,0)</f>
        <v>45</v>
      </c>
      <c r="I16" s="44" t="n">
        <v>0</v>
      </c>
      <c r="J16" s="34" t="n">
        <f aca="false">D16*269+E16*319+F16*249+G16*349+H16*429+I16*299</f>
        <v>328660</v>
      </c>
      <c r="K16" s="34" t="n">
        <f aca="false">D16*269*0.4423+E16*319*0.4316+F16*249*0.1264+G16*349*0.0316</f>
        <v>114675.1807</v>
      </c>
      <c r="L16" s="34" t="n">
        <f aca="false">D16*55.9+E16*8.04+F16*71.44+G16*131.85+H16*216.49+I16*147.02</f>
        <v>68045.03</v>
      </c>
      <c r="M16" s="7" t="n">
        <f aca="false">IFERROR(L16/J16,0)</f>
        <v>0.2070377593866</v>
      </c>
      <c r="N16" s="34" t="n">
        <f aca="false">N15+L16</f>
        <v>1740369.54</v>
      </c>
      <c r="O16" s="45" t="n">
        <f aca="false">N16-875000</f>
        <v>865369.54</v>
      </c>
    </row>
    <row r="17" customFormat="false" ht="15" hidden="false" customHeight="true" outlineLevel="0" collapsed="false">
      <c r="A17" s="5" t="s">
        <v>123</v>
      </c>
      <c r="B17" s="41" t="s">
        <v>124</v>
      </c>
      <c r="C17" s="42" t="n">
        <f aca="false">ROUND($C$5*0.2308,0)</f>
        <v>965</v>
      </c>
      <c r="D17" s="43" t="n">
        <f aca="false">ROUND(C17*0.58,0)</f>
        <v>560</v>
      </c>
      <c r="E17" s="43" t="n">
        <f aca="false">ROUND(C17*0.22,0)</f>
        <v>212</v>
      </c>
      <c r="F17" s="43" t="n">
        <f aca="false">ROUND(C17*0.02,0)</f>
        <v>19</v>
      </c>
      <c r="G17" s="43" t="n">
        <f aca="false">ROUND(C17*0.12,0)</f>
        <v>116</v>
      </c>
      <c r="H17" s="43" t="n">
        <f aca="false">ROUND(C17*0.04,0)</f>
        <v>39</v>
      </c>
      <c r="I17" s="44" t="n">
        <v>0</v>
      </c>
      <c r="J17" s="34" t="n">
        <f aca="false">D17*269+E17*319+F17*249+G17*349+H17*429+I17*299</f>
        <v>280214</v>
      </c>
      <c r="K17" s="34" t="n">
        <f aca="false">D17*269*0.4423+E17*319*0.4316+F17*249*0.1264+G17*349*0.0316</f>
        <v>97693.6096</v>
      </c>
      <c r="L17" s="34" t="n">
        <f aca="false">D17*55.9+E17*8.04+F17*71.44+G17*131.85+H17*216.49+I17*147.02</f>
        <v>58103.55</v>
      </c>
      <c r="M17" s="7" t="n">
        <f aca="false">IFERROR(L17/J17,0)</f>
        <v>0.207354200718023</v>
      </c>
      <c r="N17" s="34" t="n">
        <f aca="false">N16+L17</f>
        <v>1798473.09</v>
      </c>
      <c r="O17" s="45" t="n">
        <f aca="false">N17-875000</f>
        <v>923473.09</v>
      </c>
    </row>
    <row r="18" customFormat="false" ht="15" hidden="false" customHeight="true" outlineLevel="0" collapsed="false">
      <c r="A18" s="5" t="s">
        <v>125</v>
      </c>
      <c r="B18" s="41" t="s">
        <v>126</v>
      </c>
      <c r="C18" s="42" t="n">
        <f aca="false">ROUND($C$5*0.2,0)</f>
        <v>836</v>
      </c>
      <c r="D18" s="43" t="n">
        <f aca="false">ROUND(C18*0.58,0)</f>
        <v>485</v>
      </c>
      <c r="E18" s="43" t="n">
        <f aca="false">ROUND(C18*0.22,0)</f>
        <v>184</v>
      </c>
      <c r="F18" s="43" t="n">
        <f aca="false">ROUND(C18*0.02,0)</f>
        <v>17</v>
      </c>
      <c r="G18" s="43" t="n">
        <f aca="false">ROUND(C18*0.12,0)</f>
        <v>100</v>
      </c>
      <c r="H18" s="43" t="n">
        <f aca="false">ROUND(C18*0.04,0)</f>
        <v>33</v>
      </c>
      <c r="I18" s="44" t="n">
        <v>0</v>
      </c>
      <c r="J18" s="34" t="n">
        <f aca="false">D18*269+E18*319+F18*249+G18*349+H18*429+I18*299</f>
        <v>242451</v>
      </c>
      <c r="K18" s="34" t="n">
        <f aca="false">D18*269*0.4423+E18*319*0.4316+F18*249*0.1264+G18*349*0.0316</f>
        <v>84675.7543</v>
      </c>
      <c r="L18" s="34" t="n">
        <f aca="false">D18*55.9+E18*8.04+F18*71.44+G18*131.85+H18*216.49+I18*147.02</f>
        <v>50134.51</v>
      </c>
      <c r="M18" s="7" t="n">
        <f aca="false">IFERROR(L18/J18,0)</f>
        <v>0.206782030183418</v>
      </c>
      <c r="N18" s="34" t="n">
        <f aca="false">N17+L18</f>
        <v>1848607.6</v>
      </c>
      <c r="O18" s="45" t="n">
        <f aca="false">N18-875000</f>
        <v>973607.6</v>
      </c>
    </row>
    <row r="19" customFormat="false" ht="15" hidden="false" customHeight="true" outlineLevel="0" collapsed="false">
      <c r="A19" s="5" t="s">
        <v>127</v>
      </c>
      <c r="B19" s="41" t="s">
        <v>128</v>
      </c>
      <c r="C19" s="42" t="n">
        <f aca="false">ROUND($C$5*0.1756,0)</f>
        <v>734</v>
      </c>
      <c r="D19" s="43" t="n">
        <f aca="false">ROUND(C19*0.58,0)</f>
        <v>426</v>
      </c>
      <c r="E19" s="43" t="n">
        <f aca="false">ROUND(C19*0.22,0)</f>
        <v>161</v>
      </c>
      <c r="F19" s="43" t="n">
        <f aca="false">ROUND(C19*0.02,0)</f>
        <v>15</v>
      </c>
      <c r="G19" s="43" t="n">
        <f aca="false">ROUND(C19*0.12,0)</f>
        <v>88</v>
      </c>
      <c r="H19" s="43" t="n">
        <f aca="false">ROUND(C19*0.04,0)</f>
        <v>29</v>
      </c>
      <c r="I19" s="43" t="n">
        <f aca="false">ROUND(C19*0.02,0)</f>
        <v>15</v>
      </c>
      <c r="J19" s="34" t="n">
        <f aca="false">D19*269+E19*319+F19*249+G19*349+H19*429+I19*299</f>
        <v>217326</v>
      </c>
      <c r="K19" s="34" t="n">
        <f aca="false">D19*269*0.4423+E19*319*0.4316+F19*249*0.1264+G19*349*0.0316</f>
        <v>74294.0738</v>
      </c>
      <c r="L19" s="34" t="n">
        <f aca="false">D19*55.9+E19*8.04+F19*71.44+G19*131.85+H19*216.49+I19*147.02</f>
        <v>46265.75</v>
      </c>
      <c r="M19" s="7" t="n">
        <f aca="false">IFERROR(L19/J19,0)</f>
        <v>0.212886401074883</v>
      </c>
      <c r="N19" s="34" t="n">
        <f aca="false">N18+L19</f>
        <v>1894873.35</v>
      </c>
      <c r="O19" s="45" t="n">
        <f aca="false">N19-875000</f>
        <v>1019873.35</v>
      </c>
    </row>
    <row r="20" customFormat="false" ht="15" hidden="false" customHeight="true" outlineLevel="0" collapsed="false">
      <c r="A20" s="5" t="s">
        <v>129</v>
      </c>
      <c r="B20" s="41" t="s">
        <v>130</v>
      </c>
      <c r="C20" s="42" t="n">
        <f aca="false">ROUND($C$5*0.1756,0)</f>
        <v>734</v>
      </c>
      <c r="D20" s="43" t="n">
        <f aca="false">ROUND(C20*0.58,0)</f>
        <v>426</v>
      </c>
      <c r="E20" s="43" t="n">
        <f aca="false">ROUND(C20*0.22,0)</f>
        <v>161</v>
      </c>
      <c r="F20" s="43" t="n">
        <f aca="false">ROUND(C20*0.02,0)</f>
        <v>15</v>
      </c>
      <c r="G20" s="43" t="n">
        <f aca="false">ROUND(C20*0.12,0)</f>
        <v>88</v>
      </c>
      <c r="H20" s="43" t="n">
        <f aca="false">ROUND(C20*0.04,0)</f>
        <v>29</v>
      </c>
      <c r="I20" s="44" t="n">
        <v>0</v>
      </c>
      <c r="J20" s="34" t="n">
        <f aca="false">D20*269+E20*319+F20*249+G20*349+H20*429+I20*299</f>
        <v>212841</v>
      </c>
      <c r="K20" s="34" t="n">
        <f aca="false">D20*269*0.4423+E20*319*0.4316+F20*249*0.1264+G20*349*0.0316</f>
        <v>74294.0738</v>
      </c>
      <c r="L20" s="34" t="n">
        <f aca="false">D20*55.9+E20*8.04+F20*71.44+G20*131.85+H20*216.49+I20*147.02</f>
        <v>44060.45</v>
      </c>
      <c r="M20" s="7" t="n">
        <f aca="false">IFERROR(L20/J20,0)</f>
        <v>0.20701110218426</v>
      </c>
      <c r="N20" s="34" t="n">
        <f aca="false">N19+L20</f>
        <v>1938933.8</v>
      </c>
      <c r="O20" s="45" t="n">
        <f aca="false">N20-875000</f>
        <v>1063933.8</v>
      </c>
    </row>
    <row r="21" customFormat="false" ht="15" hidden="false" customHeight="true" outlineLevel="0" collapsed="false">
      <c r="A21" s="5" t="s">
        <v>131</v>
      </c>
      <c r="B21" s="41" t="s">
        <v>132</v>
      </c>
      <c r="C21" s="42" t="n">
        <f aca="false">ROUND($C$5*0.1508,0)</f>
        <v>630</v>
      </c>
      <c r="D21" s="43" t="n">
        <f aca="false">ROUND(C21*0.58,0)</f>
        <v>365</v>
      </c>
      <c r="E21" s="43" t="n">
        <f aca="false">ROUND(C21*0.22,0)</f>
        <v>139</v>
      </c>
      <c r="F21" s="43" t="n">
        <f aca="false">ROUND(C21*0.02,0)</f>
        <v>13</v>
      </c>
      <c r="G21" s="43" t="n">
        <f aca="false">ROUND(C21*0.12,0)</f>
        <v>76</v>
      </c>
      <c r="H21" s="43" t="n">
        <f aca="false">ROUND(C21*0.04,0)</f>
        <v>25</v>
      </c>
      <c r="I21" s="44" t="n">
        <v>0</v>
      </c>
      <c r="J21" s="34" t="n">
        <f aca="false">D21*269+E21*319+F21*249+G21*349+H21*429+I21*299</f>
        <v>183012</v>
      </c>
      <c r="K21" s="34" t="n">
        <f aca="false">D21*269*0.4423+E21*319*0.4316+F21*249*0.1264+G21*349*0.0316</f>
        <v>63812.1163</v>
      </c>
      <c r="L21" s="34" t="n">
        <f aca="false">D21*55.9+E21*8.04+F21*71.44+G21*131.85+H21*216.49+I21*147.02</f>
        <v>37882.63</v>
      </c>
      <c r="M21" s="7" t="n">
        <f aca="false">IFERROR(L21/J21,0)</f>
        <v>0.206995333639324</v>
      </c>
      <c r="N21" s="34" t="n">
        <f aca="false">N20+L21</f>
        <v>1976816.43</v>
      </c>
      <c r="O21" s="45" t="n">
        <f aca="false">N21-875000</f>
        <v>1101816.43</v>
      </c>
    </row>
    <row r="22" customFormat="false" ht="15" hidden="false" customHeight="true" outlineLevel="0" collapsed="false">
      <c r="A22" s="5" t="s">
        <v>133</v>
      </c>
      <c r="B22" s="41" t="s">
        <v>134</v>
      </c>
      <c r="C22" s="42" t="n">
        <f aca="false">ROUND($C$5*0.1508,0)</f>
        <v>630</v>
      </c>
      <c r="D22" s="43" t="n">
        <f aca="false">ROUND(C22*0.58,0)</f>
        <v>365</v>
      </c>
      <c r="E22" s="43" t="n">
        <f aca="false">ROUND(C22*0.22,0)</f>
        <v>139</v>
      </c>
      <c r="F22" s="43" t="n">
        <f aca="false">ROUND(C22*0.02,0)</f>
        <v>13</v>
      </c>
      <c r="G22" s="43" t="n">
        <f aca="false">ROUND(C22*0.12,0)</f>
        <v>76</v>
      </c>
      <c r="H22" s="43" t="n">
        <f aca="false">ROUND(C22*0.04,0)</f>
        <v>25</v>
      </c>
      <c r="I22" s="44" t="n">
        <v>0</v>
      </c>
      <c r="J22" s="34" t="n">
        <f aca="false">D22*269+E22*319+F22*249+G22*349+H22*429+I22*299</f>
        <v>183012</v>
      </c>
      <c r="K22" s="34" t="n">
        <f aca="false">D22*269*0.4423+E22*319*0.4316+F22*249*0.1264+G22*349*0.0316</f>
        <v>63812.1163</v>
      </c>
      <c r="L22" s="34" t="n">
        <f aca="false">D22*55.9+E22*8.04+F22*71.44+G22*131.85+H22*216.49+I22*147.02</f>
        <v>37882.63</v>
      </c>
      <c r="M22" s="7" t="n">
        <f aca="false">IFERROR(L22/J22,0)</f>
        <v>0.206995333639324</v>
      </c>
      <c r="N22" s="34" t="n">
        <f aca="false">N21+L22</f>
        <v>2014699.06</v>
      </c>
      <c r="O22" s="45" t="n">
        <f aca="false">N22-875000</f>
        <v>1139699.06</v>
      </c>
    </row>
    <row r="23" customFormat="false" ht="15" hidden="false" customHeight="true" outlineLevel="0" collapsed="false">
      <c r="A23" s="5" t="s">
        <v>135</v>
      </c>
      <c r="B23" s="41" t="s">
        <v>136</v>
      </c>
      <c r="C23" s="42" t="n">
        <f aca="false">ROUND($C$5*0.1256,0)</f>
        <v>525</v>
      </c>
      <c r="D23" s="43" t="n">
        <f aca="false">ROUND(C23*0.58,0)</f>
        <v>305</v>
      </c>
      <c r="E23" s="43" t="n">
        <f aca="false">ROUND(C23*0.22,0)</f>
        <v>116</v>
      </c>
      <c r="F23" s="43" t="n">
        <f aca="false">ROUND(C23*0.02,0)</f>
        <v>11</v>
      </c>
      <c r="G23" s="43" t="n">
        <f aca="false">ROUND(C23*0.12,0)</f>
        <v>63</v>
      </c>
      <c r="H23" s="43" t="n">
        <f aca="false">ROUND(C23*0.04,0)</f>
        <v>21</v>
      </c>
      <c r="I23" s="44" t="n">
        <v>0</v>
      </c>
      <c r="J23" s="34" t="n">
        <f aca="false">D23*269+E23*319+F23*249+G23*349+H23*429+I23*299</f>
        <v>152784</v>
      </c>
      <c r="K23" s="34" t="n">
        <f aca="false">D23*269*0.4423+E23*319*0.4316+F23*249*0.1264+G23*349*0.0316</f>
        <v>53300.4287</v>
      </c>
      <c r="L23" s="34" t="n">
        <f aca="false">D23*55.9+E23*8.04+F23*71.44+G23*131.85+H23*216.49+I23*147.02</f>
        <v>31620.82</v>
      </c>
      <c r="M23" s="7" t="n">
        <f aca="false">IFERROR(L23/J23,0)</f>
        <v>0.206964210912137</v>
      </c>
      <c r="N23" s="34" t="n">
        <f aca="false">N22+L23</f>
        <v>2046319.88</v>
      </c>
      <c r="O23" s="45" t="n">
        <f aca="false">N23-875000</f>
        <v>1171319.88</v>
      </c>
    </row>
    <row r="24" customFormat="false" ht="15" hidden="false" customHeight="true" outlineLevel="0" collapsed="false">
      <c r="A24" s="5" t="s">
        <v>137</v>
      </c>
      <c r="B24" s="41" t="s">
        <v>138</v>
      </c>
      <c r="C24" s="42" t="n">
        <f aca="false">ROUND($C$5*0.1,0)</f>
        <v>418</v>
      </c>
      <c r="D24" s="43" t="n">
        <f aca="false">ROUND(C24*0.58,0)</f>
        <v>242</v>
      </c>
      <c r="E24" s="43" t="n">
        <f aca="false">ROUND(C24*0.22,0)</f>
        <v>92</v>
      </c>
      <c r="F24" s="43" t="n">
        <f aca="false">ROUND(C24*0.02,0)</f>
        <v>8</v>
      </c>
      <c r="G24" s="43" t="n">
        <f aca="false">ROUND(C24*0.12,0)</f>
        <v>50</v>
      </c>
      <c r="H24" s="43" t="n">
        <f aca="false">ROUND(C24*0.04,0)</f>
        <v>17</v>
      </c>
      <c r="I24" s="44" t="n">
        <v>0</v>
      </c>
      <c r="J24" s="34" t="n">
        <f aca="false">D24*269+E24*319+F24*249+G24*349+H24*429+I24*299</f>
        <v>121181</v>
      </c>
      <c r="K24" s="34" t="n">
        <f aca="false">D24*269*0.4423+E24*319*0.4316+F24*249*0.1264+G24*349*0.0316</f>
        <v>42262.651</v>
      </c>
      <c r="L24" s="34" t="n">
        <f aca="false">D24*55.9+E24*8.04+F24*71.44+G24*131.85+H24*216.49+I24*147.02</f>
        <v>25111.83</v>
      </c>
      <c r="M24" s="7" t="n">
        <f aca="false">IFERROR(L24/J24,0)</f>
        <v>0.20722580272485</v>
      </c>
      <c r="N24" s="34" t="n">
        <f aca="false">N23+L24</f>
        <v>2071431.71</v>
      </c>
      <c r="O24" s="45" t="n">
        <f aca="false">N24-875000</f>
        <v>1196431.71</v>
      </c>
    </row>
    <row r="25" customFormat="false" ht="15" hidden="false" customHeight="true" outlineLevel="0" collapsed="false">
      <c r="A25" s="5" t="s">
        <v>139</v>
      </c>
      <c r="B25" s="41" t="s">
        <v>140</v>
      </c>
      <c r="C25" s="42" t="n">
        <f aca="false">ROUND($C$5*0.1,0)</f>
        <v>418</v>
      </c>
      <c r="D25" s="43" t="n">
        <f aca="false">ROUND(C25*0.58,0)</f>
        <v>242</v>
      </c>
      <c r="E25" s="43" t="n">
        <f aca="false">ROUND(C25*0.22,0)</f>
        <v>92</v>
      </c>
      <c r="F25" s="43" t="n">
        <f aca="false">ROUND(C25*0.02,0)</f>
        <v>8</v>
      </c>
      <c r="G25" s="43" t="n">
        <f aca="false">ROUND(C25*0.12,0)</f>
        <v>50</v>
      </c>
      <c r="H25" s="43" t="n">
        <f aca="false">ROUND(C25*0.04,0)</f>
        <v>17</v>
      </c>
      <c r="I25" s="43" t="n">
        <f aca="false">ROUND(C25*0.02,0)</f>
        <v>8</v>
      </c>
      <c r="J25" s="34" t="n">
        <f aca="false">D25*269+E25*319+F25*249+G25*349+H25*429+I25*299</f>
        <v>123573</v>
      </c>
      <c r="K25" s="34" t="n">
        <f aca="false">D25*269*0.4423+E25*319*0.4316+F25*249*0.1264+G25*349*0.0316</f>
        <v>42262.651</v>
      </c>
      <c r="L25" s="34" t="n">
        <f aca="false">D25*55.9+E25*8.04+F25*71.44+G25*131.85+H25*216.49+I25*147.02</f>
        <v>26287.99</v>
      </c>
      <c r="M25" s="7" t="n">
        <f aca="false">IFERROR(L25/J25,0)</f>
        <v>0.212732473922297</v>
      </c>
      <c r="N25" s="34" t="n">
        <f aca="false">N24+L25</f>
        <v>2097719.7</v>
      </c>
      <c r="O25" s="45" t="n">
        <f aca="false">N25-875000</f>
        <v>1222719.7</v>
      </c>
    </row>
    <row r="26" customFormat="false" ht="15" hidden="false" customHeight="true" outlineLevel="0" collapsed="false">
      <c r="A26" s="5" t="s">
        <v>141</v>
      </c>
      <c r="B26" s="41" t="s">
        <v>142</v>
      </c>
      <c r="C26" s="42" t="n">
        <f aca="false">ROUND($C$5*0.0756,0)</f>
        <v>316</v>
      </c>
      <c r="D26" s="43" t="n">
        <f aca="false">ROUND(C26*0.58,0)</f>
        <v>183</v>
      </c>
      <c r="E26" s="43" t="n">
        <f aca="false">ROUND(C26*0.22,0)</f>
        <v>70</v>
      </c>
      <c r="F26" s="43" t="n">
        <f aca="false">ROUND(C26*0.02,0)</f>
        <v>6</v>
      </c>
      <c r="G26" s="43" t="n">
        <f aca="false">ROUND(C26*0.12,0)</f>
        <v>38</v>
      </c>
      <c r="H26" s="43" t="n">
        <f aca="false">ROUND(C26*0.04,0)</f>
        <v>13</v>
      </c>
      <c r="I26" s="44" t="n">
        <v>0</v>
      </c>
      <c r="J26" s="34" t="n">
        <f aca="false">D26*269+E26*319+F26*249+G26*349+H26*429+I26*299</f>
        <v>91890</v>
      </c>
      <c r="K26" s="34" t="n">
        <f aca="false">D26*269*0.4423+E26*319*0.4316+F26*249*0.1264+G26*349*0.0316</f>
        <v>32018.6509</v>
      </c>
      <c r="L26" s="34" t="n">
        <f aca="false">D26*55.9+E26*8.04+F26*71.44+G26*131.85+H26*216.49+I26*147.02</f>
        <v>19045.81</v>
      </c>
      <c r="M26" s="7" t="n">
        <f aca="false">IFERROR(L26/J26,0)</f>
        <v>0.207267493742518</v>
      </c>
      <c r="N26" s="34" t="n">
        <f aca="false">N25+L26</f>
        <v>2116765.51</v>
      </c>
      <c r="O26" s="45" t="n">
        <f aca="false">N26-875000</f>
        <v>1241765.51</v>
      </c>
    </row>
    <row r="27" customFormat="false" ht="15" hidden="false" customHeight="true" outlineLevel="0" collapsed="false">
      <c r="A27" s="5" t="s">
        <v>143</v>
      </c>
      <c r="B27" s="41" t="s">
        <v>144</v>
      </c>
      <c r="C27" s="42" t="n">
        <f aca="false">ROUND($C$5*0.0756,0)</f>
        <v>316</v>
      </c>
      <c r="D27" s="43" t="n">
        <f aca="false">ROUND(C27*0.58,0)</f>
        <v>183</v>
      </c>
      <c r="E27" s="43" t="n">
        <f aca="false">ROUND(C27*0.22,0)</f>
        <v>70</v>
      </c>
      <c r="F27" s="43" t="n">
        <f aca="false">ROUND(C27*0.02,0)</f>
        <v>6</v>
      </c>
      <c r="G27" s="43" t="n">
        <f aca="false">ROUND(C27*0.12,0)</f>
        <v>38</v>
      </c>
      <c r="H27" s="43" t="n">
        <f aca="false">ROUND(C27*0.04,0)</f>
        <v>13</v>
      </c>
      <c r="I27" s="44" t="n">
        <v>0</v>
      </c>
      <c r="J27" s="34" t="n">
        <f aca="false">D27*269+E27*319+F27*249+G27*349+H27*429+I27*299</f>
        <v>91890</v>
      </c>
      <c r="K27" s="34" t="n">
        <f aca="false">D27*269*0.4423+E27*319*0.4316+F27*249*0.1264+G27*349*0.0316</f>
        <v>32018.6509</v>
      </c>
      <c r="L27" s="34" t="n">
        <f aca="false">D27*55.9+E27*8.04+F27*71.44+G27*131.85+H27*216.49+I27*147.02</f>
        <v>19045.81</v>
      </c>
      <c r="M27" s="7" t="n">
        <f aca="false">IFERROR(L27/J27,0)</f>
        <v>0.207267493742518</v>
      </c>
      <c r="N27" s="34" t="n">
        <f aca="false">N26+L27</f>
        <v>2135811.32</v>
      </c>
      <c r="O27" s="45" t="n">
        <f aca="false">N27-875000</f>
        <v>1260811.32</v>
      </c>
    </row>
    <row r="28" customFormat="false" ht="15" hidden="false" customHeight="true" outlineLevel="0" collapsed="false">
      <c r="A28" s="5" t="s">
        <v>145</v>
      </c>
      <c r="B28" s="41" t="s">
        <v>146</v>
      </c>
      <c r="C28" s="42" t="n">
        <f aca="false">ROUND($C$5*0.0508,0)</f>
        <v>212</v>
      </c>
      <c r="D28" s="43" t="n">
        <f aca="false">ROUND(C28*0.58,0)</f>
        <v>123</v>
      </c>
      <c r="E28" s="43" t="n">
        <f aca="false">ROUND(C28*0.22,0)</f>
        <v>47</v>
      </c>
      <c r="F28" s="43" t="n">
        <f aca="false">ROUND(C28*0.02,0)</f>
        <v>4</v>
      </c>
      <c r="G28" s="43" t="n">
        <f aca="false">ROUND(C28*0.12,0)</f>
        <v>25</v>
      </c>
      <c r="H28" s="43" t="n">
        <f aca="false">ROUND(C28*0.04,0)</f>
        <v>8</v>
      </c>
      <c r="I28" s="44" t="n">
        <v>0</v>
      </c>
      <c r="J28" s="34" t="n">
        <f aca="false">D28*269+E28*319+F28*249+G28*349+H28*429+I28*299</f>
        <v>61233</v>
      </c>
      <c r="K28" s="34" t="n">
        <f aca="false">D28*269*0.4423+E28*319*0.4316+F28*249*0.1264+G28*349*0.0316</f>
        <v>21506.9633</v>
      </c>
      <c r="L28" s="34" t="n">
        <f aca="false">D28*55.9+E28*8.04+F28*71.44+G28*131.85+H28*216.49+I28*147.02</f>
        <v>12567.51</v>
      </c>
      <c r="M28" s="7" t="n">
        <f aca="false">IFERROR(L28/J28,0)</f>
        <v>0.205240801528588</v>
      </c>
      <c r="N28" s="34" t="n">
        <f aca="false">N27+L28</f>
        <v>2148378.83</v>
      </c>
      <c r="O28" s="45" t="n">
        <f aca="false">N28-875000</f>
        <v>1273378.83</v>
      </c>
    </row>
    <row r="29" customFormat="false" ht="15" hidden="false" customHeight="true" outlineLevel="0" collapsed="false">
      <c r="A29" s="5" t="s">
        <v>147</v>
      </c>
      <c r="B29" s="41" t="s">
        <v>148</v>
      </c>
      <c r="C29" s="42" t="n">
        <f aca="false">ROUND($C$5*0.0508,0)</f>
        <v>212</v>
      </c>
      <c r="D29" s="43" t="n">
        <f aca="false">ROUND(C29*0.58,0)</f>
        <v>123</v>
      </c>
      <c r="E29" s="43" t="n">
        <f aca="false">ROUND(C29*0.22,0)</f>
        <v>47</v>
      </c>
      <c r="F29" s="43" t="n">
        <f aca="false">ROUND(C29*0.02,0)</f>
        <v>4</v>
      </c>
      <c r="G29" s="43" t="n">
        <f aca="false">ROUND(C29*0.12,0)</f>
        <v>25</v>
      </c>
      <c r="H29" s="43" t="n">
        <f aca="false">ROUND(C29*0.04,0)</f>
        <v>8</v>
      </c>
      <c r="I29" s="44" t="n">
        <v>0</v>
      </c>
      <c r="J29" s="34" t="n">
        <f aca="false">D29*269+E29*319+F29*249+G29*349+H29*429+I29*299</f>
        <v>61233</v>
      </c>
      <c r="K29" s="34" t="n">
        <f aca="false">D29*269*0.4423+E29*319*0.4316+F29*249*0.1264+G29*349*0.0316</f>
        <v>21506.9633</v>
      </c>
      <c r="L29" s="34" t="n">
        <f aca="false">D29*55.9+E29*8.04+F29*71.44+G29*131.85+H29*216.49+I29*147.02</f>
        <v>12567.51</v>
      </c>
      <c r="M29" s="7" t="n">
        <f aca="false">IFERROR(L29/J29,0)</f>
        <v>0.205240801528588</v>
      </c>
      <c r="N29" s="34" t="n">
        <f aca="false">N28+L29</f>
        <v>2160946.34</v>
      </c>
      <c r="O29" s="45" t="n">
        <f aca="false">N29-875000</f>
        <v>1285946.34</v>
      </c>
    </row>
    <row r="30" customFormat="false" ht="21.75" hidden="false" customHeight="true" outlineLevel="0" collapsed="false">
      <c r="A30" s="52" t="s">
        <v>149</v>
      </c>
      <c r="B30" s="52" t="s">
        <v>150</v>
      </c>
      <c r="C30" s="53" t="n">
        <f aca="false">SUM(C6:C29)</f>
        <v>36157</v>
      </c>
      <c r="D30" s="53" t="n">
        <f aca="false">SUM(D6:D29)</f>
        <v>20971</v>
      </c>
      <c r="E30" s="53" t="n">
        <f aca="false">SUM(E6:E29)</f>
        <v>7953</v>
      </c>
      <c r="F30" s="53" t="n">
        <f aca="false">SUM(F6:F29)</f>
        <v>725</v>
      </c>
      <c r="G30" s="53" t="n">
        <f aca="false">SUM(G6:G29)</f>
        <v>4336</v>
      </c>
      <c r="H30" s="53" t="n">
        <f aca="false">SUM(H6:H29)</f>
        <v>1350</v>
      </c>
      <c r="I30" s="53" t="n">
        <f aca="false">SUM(I6:I29)</f>
        <v>61</v>
      </c>
      <c r="J30" s="53" t="n">
        <f aca="false">SUM(J6:J29)</f>
        <v>10469384</v>
      </c>
      <c r="K30" s="53" t="n">
        <f aca="false">SUM(K6:K29)</f>
        <v>3660712.0413</v>
      </c>
      <c r="L30" s="53" t="n">
        <f aca="false">SUM(L6:L29)</f>
        <v>2160946.34</v>
      </c>
      <c r="M30" s="54" t="n">
        <f aca="false">IFERROR(L30/J30,0)</f>
        <v>0.206406254656434</v>
      </c>
      <c r="N30" s="53" t="n">
        <f aca="false">N29</f>
        <v>2160946.34</v>
      </c>
      <c r="O30" s="55" t="n">
        <f aca="false">N30-875000</f>
        <v>1285946.34</v>
      </c>
    </row>
    <row r="32" customFormat="false" ht="19.5" hidden="false" customHeight="true" outlineLevel="0" collapsed="false">
      <c r="A32" s="56" t="s">
        <v>151</v>
      </c>
      <c r="B32" s="56"/>
      <c r="C32" s="57" t="n">
        <f aca="false">SUM(C6:C17)</f>
        <v>30176</v>
      </c>
      <c r="D32" s="57" t="n">
        <f aca="false">SUM(D6:D17)</f>
        <v>17503</v>
      </c>
      <c r="E32" s="57" t="n">
        <f aca="false">SUM(E6:E17)</f>
        <v>6635</v>
      </c>
      <c r="F32" s="57" t="n">
        <f aca="false">SUM(F6:F17)</f>
        <v>605</v>
      </c>
      <c r="G32" s="57" t="n">
        <f aca="false">SUM(G6:G17)</f>
        <v>3619</v>
      </c>
      <c r="H32" s="57" t="n">
        <f aca="false">SUM(H6:H17)</f>
        <v>1112</v>
      </c>
      <c r="I32" s="57" t="n">
        <f aca="false">SUM(I6:I17)</f>
        <v>38</v>
      </c>
      <c r="J32" s="57" t="n">
        <f aca="false">SUM(J6:J17)</f>
        <v>8726958</v>
      </c>
      <c r="K32" s="57" t="n">
        <f aca="false">SUM(K6:K17)</f>
        <v>3054946.9477</v>
      </c>
      <c r="L32" s="57" t="n">
        <f aca="false">SUM(L6:L17)</f>
        <v>1798473.09</v>
      </c>
      <c r="M32" s="58" t="n">
        <f aca="false">IFERROR(L32/J32,0)</f>
        <v>0.206082473411697</v>
      </c>
      <c r="N32" s="57" t="n">
        <f aca="false">N17</f>
        <v>1798473.09</v>
      </c>
      <c r="O32" s="59" t="n">
        <f aca="false">N17-875000</f>
        <v>923473.09</v>
      </c>
    </row>
    <row r="34" customFormat="false" ht="15" hidden="false" customHeight="true" outlineLevel="0" collapsed="false">
      <c r="A34" s="60" t="s">
        <v>152</v>
      </c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</row>
  </sheetData>
  <mergeCells count="7">
    <mergeCell ref="A1:O1"/>
    <mergeCell ref="A2:O2"/>
    <mergeCell ref="A3:O3"/>
    <mergeCell ref="A5:B5"/>
    <mergeCell ref="D5:O5"/>
    <mergeCell ref="A32:B32"/>
    <mergeCell ref="A34:O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2026-05-20T10:50:59Z</dcterms:created>
  <dc:creator>openpyxl</dc:creator>
  <dc:description/>
  <dc:language>en-US</dc:language>
  <cp:lastModifiedBy/>
  <dcterms:modified xsi:type="dcterms:W3CDTF">2026-05-20T10:50:59Z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