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🎯 BEP Summary" sheetId="1" state="visible" r:id="rId3"/>
    <sheet name="📅 Monthly Foreca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<sst xmlns="http://schemas.openxmlformats.org/spreadsheetml/2006/main" count="161" uniqueCount="146">
  <si>
    <t xml:space="preserve">BEP — Survival Guide เอาตัวรอดได้ในเหตุวิกฤติ</t>
  </si>
  <si>
    <t xml:space="preserve">v1  |  20 May 2026  |  เซลล์สีเหลือง = Input  |  ⚠️ Gap Rule: FB &lt; TikTok &lt; Shopee &lt; C1</t>
  </si>
  <si>
    <t xml:space="preserve">📌  ข้อมูลหนังสือ</t>
  </si>
  <si>
    <t xml:space="preserve">ชื่อหนังสือ</t>
  </si>
  <si>
    <t xml:space="preserve">Survival Guide เอาตัวรอดได้ในเหตุวิกฤติ</t>
  </si>
  <si>
    <t xml:space="preserve">Product Type</t>
  </si>
  <si>
    <t xml:space="preserve">EDUGADGETS</t>
  </si>
  <si>
    <t xml:space="preserve">Launch Date</t>
  </si>
  <si>
    <t xml:space="preserve">14 Sep 2026</t>
  </si>
  <si>
    <t xml:space="preserve">Month 1 = Prorated 17 วัน (Sep มี 30 วัน)</t>
  </si>
  <si>
    <t xml:space="preserve">Prorated Factor</t>
  </si>
  <si>
    <t xml:space="preserve">17 วันที่เหลือ ÷ 30</t>
  </si>
  <si>
    <t xml:space="preserve">Peak Months</t>
  </si>
  <si>
    <t xml:space="preserve">Oct – Dec 2026</t>
  </si>
  <si>
    <t xml:space="preserve">Month 2-4 = PEAK</t>
  </si>
  <si>
    <t xml:space="preserve">Lot 1</t>
  </si>
  <si>
    <t xml:space="preserve">เล่ม</t>
  </si>
  <si>
    <t xml:space="preserve">Lot 2</t>
  </si>
  <si>
    <t xml:space="preserve">รวม Lot</t>
  </si>
  <si>
    <t xml:space="preserve">💰  โครงสร้างต้นทุน</t>
  </si>
  <si>
    <t xml:space="preserve">COG Variable (พิมพ์/เล่ม)</t>
  </si>
  <si>
    <t xml:space="preserve">ราคาเฉลี่ย 2 Lots — จาก Template</t>
  </si>
  <si>
    <t xml:space="preserve">Fixed Production Cost</t>
  </si>
  <si>
    <t xml:space="preserve">ต้นทุนในการทำเล่ม/ผลิต</t>
  </si>
  <si>
    <t xml:space="preserve">First MKT Launch Budget</t>
  </si>
  <si>
    <t xml:space="preserve">ค่าการตลาด 60 วันแรก</t>
  </si>
  <si>
    <t xml:space="preserve">รวมต้นทุนตั้งต้น (Fixed+MKT)</t>
  </si>
  <si>
    <t xml:space="preserve">Fixed Production + First MKT</t>
  </si>
  <si>
    <t xml:space="preserve">🎯  เป้าหมาย</t>
  </si>
  <si>
    <t xml:space="preserve">Sale Target (Year 1)</t>
  </si>
  <si>
    <t xml:space="preserve">เป้าจาก Template</t>
  </si>
  <si>
    <t xml:space="preserve">GM Target (Year 1)</t>
  </si>
  <si>
    <t xml:space="preserve">เป้า Gross Margin</t>
  </si>
  <si>
    <t xml:space="preserve">GM % Target</t>
  </si>
  <si>
    <t xml:space="preserve">📊  ช่องทาง — ราคา / %Ads / Margin per Unit</t>
  </si>
  <si>
    <t xml:space="preserve">Channel</t>
  </si>
  <si>
    <t xml:space="preserve">ราคาขาย (฿)</t>
  </si>
  <si>
    <t xml:space="preserve">%Ads</t>
  </si>
  <si>
    <t xml:space="preserve">COG/Unit</t>
  </si>
  <si>
    <t xml:space="preserve">Margin/Unit</t>
  </si>
  <si>
    <t xml:space="preserve">Margin %</t>
  </si>
  <si>
    <t xml:space="preserve">ใส่ใน Template</t>
  </si>
  <si>
    <t xml:space="preserve">หมายเหตุ</t>
  </si>
  <si>
    <t xml:space="preserve">Facebook</t>
  </si>
  <si>
    <t xml:space="preserve">Online 2 (Channel Group Fees)</t>
  </si>
  <si>
    <t xml:space="preserve">ตั้งแล้ว ✅</t>
  </si>
  <si>
    <t xml:space="preserve">TikTok</t>
  </si>
  <si>
    <t xml:space="preserve">Online 1 (TIKTOK)</t>
  </si>
  <si>
    <t xml:space="preserve">⚠️ รวม Shop+Affi | %Ads avg 41%</t>
  </si>
  <si>
    <t xml:space="preserve">TikTok Live</t>
  </si>
  <si>
    <t xml:space="preserve">(ราคา Live พิเศษ)</t>
  </si>
  <si>
    <t xml:space="preserve">⚠️ Live event เท่านั้น</t>
  </si>
  <si>
    <t xml:space="preserve">Shopee</t>
  </si>
  <si>
    <t xml:space="preserve">Online 3 (Shopee)</t>
  </si>
  <si>
    <t xml:space="preserve">⚠️ Recommend</t>
  </si>
  <si>
    <t xml:space="preserve">C1 (Consignment)</t>
  </si>
  <si>
    <t xml:space="preserve">Consignment 1</t>
  </si>
  <si>
    <t xml:space="preserve">ตั้งแล้ว ✅ ราคาหลังปก</t>
  </si>
  <si>
    <t xml:space="preserve">C2 (Consignment)</t>
  </si>
  <si>
    <t xml:space="preserve">Consignment 2</t>
  </si>
  <si>
    <t xml:space="preserve">✅ Gap Rule: FB ฿199 &lt; TikTok ฿249 &lt; Shopee ฿329 &lt; C1 ฿399  |  ค่าส่ง = เก็บจากลูกค้า → neutral ต่อ margin</t>
  </si>
  <si>
    <t xml:space="preserve">🔢  Channel Mix &amp; Blended Average</t>
  </si>
  <si>
    <t xml:space="preserve">Mix %</t>
  </si>
  <si>
    <t xml:space="preserve">ราคาขาย</t>
  </si>
  <si>
    <t xml:space="preserve">Contribution Rev</t>
  </si>
  <si>
    <t xml:space="preserve">Ads Contribution</t>
  </si>
  <si>
    <t xml:space="preserve">Margin Contribution</t>
  </si>
  <si>
    <t xml:space="preserve">—</t>
  </si>
  <si>
    <t xml:space="preserve">BLENDED</t>
  </si>
  <si>
    <t xml:space="preserve">Avg Price →</t>
  </si>
  <si>
    <t xml:space="preserve">← Margin/Unit</t>
  </si>
  <si>
    <t xml:space="preserve">📐  BEP Calculation</t>
  </si>
  <si>
    <t xml:space="preserve">Blended Revenue / Unit</t>
  </si>
  <si>
    <t xml:space="preserve">Blended Ads / Unit</t>
  </si>
  <si>
    <t xml:space="preserve">COG Variable / Unit</t>
  </si>
  <si>
    <t xml:space="preserve">Blended GM / Unit</t>
  </si>
  <si>
    <t xml:space="preserve">Blended GM %</t>
  </si>
  <si>
    <t xml:space="preserve">First MKT Budget</t>
  </si>
  <si>
    <t xml:space="preserve">Total Initial Fixed Cost</t>
  </si>
  <si>
    <t xml:space="preserve">BEP Units (Fixed÷Margin/Unit)</t>
  </si>
  <si>
    <t xml:space="preserve">BEP Revenue</t>
  </si>
  <si>
    <t xml:space="preserve">Units เพื่อ GM Target</t>
  </si>
  <si>
    <t xml:space="preserve">📅 Monthly Forecast — Survival Guide เอาตัวรอดได้ในเหตุวิกฤติ</t>
  </si>
  <si>
    <t xml:space="preserve">⚠️ แก้ Total Units (สีเหลือง) เพื่อ simulate  |  ค่าส่ง = เก็บจากลูกค้า (neutral — ไม่หักใน margin)</t>
  </si>
  <si>
    <t xml:space="preserve">Month</t>
  </si>
  <si>
    <t xml:space="preserve">Phase</t>
  </si>
  <si>
    <t xml:space="preserve">Total Units</t>
  </si>
  <si>
    <t xml:space="preserve">FB</t>
  </si>
  <si>
    <t xml:space="preserve">TK Live</t>
  </si>
  <si>
    <t xml:space="preserve">C1</t>
  </si>
  <si>
    <t xml:space="preserve">C2</t>
  </si>
  <si>
    <t xml:space="preserve">Revenue (฿)</t>
  </si>
  <si>
    <t xml:space="preserve">Ads Cost (฿)</t>
  </si>
  <si>
    <t xml:space="preserve">Gross Margin (฿)</t>
  </si>
  <si>
    <t xml:space="preserve">GM %</t>
  </si>
  <si>
    <t xml:space="preserve">Cumul GM (฿)</t>
  </si>
  <si>
    <t xml:space="preserve">vs GM Target</t>
  </si>
  <si>
    <t xml:space="preserve">Sep 2026</t>
  </si>
  <si>
    <t xml:space="preserve">PRORATED 17/30</t>
  </si>
  <si>
    <t xml:space="preserve">Oct 2026</t>
  </si>
  <si>
    <t xml:space="preserve">PEAK</t>
  </si>
  <si>
    <t xml:space="preserve">Nov 2026</t>
  </si>
  <si>
    <t xml:space="preserve">Dec 2026</t>
  </si>
  <si>
    <t xml:space="preserve">Jan 2027</t>
  </si>
  <si>
    <t xml:space="preserve">Decay 1</t>
  </si>
  <si>
    <t xml:space="preserve">Feb 2027</t>
  </si>
  <si>
    <t xml:space="preserve">Decay 2</t>
  </si>
  <si>
    <t xml:space="preserve">Mar 2027</t>
  </si>
  <si>
    <t xml:space="preserve">Decay 3</t>
  </si>
  <si>
    <t xml:space="preserve">Apr 2027</t>
  </si>
  <si>
    <t xml:space="preserve">Decay 4</t>
  </si>
  <si>
    <t xml:space="preserve">May 2027</t>
  </si>
  <si>
    <t xml:space="preserve">Decay 5</t>
  </si>
  <si>
    <t xml:space="preserve">Jun 2027</t>
  </si>
  <si>
    <t xml:space="preserve">Decay 6</t>
  </si>
  <si>
    <t xml:space="preserve">Jul 2027</t>
  </si>
  <si>
    <t xml:space="preserve">Decay 7</t>
  </si>
  <si>
    <t xml:space="preserve">Aug 2027</t>
  </si>
  <si>
    <t xml:space="preserve">Decay 8</t>
  </si>
  <si>
    <t xml:space="preserve">Sep 2027</t>
  </si>
  <si>
    <t xml:space="preserve">Decay 9</t>
  </si>
  <si>
    <t xml:space="preserve">Oct 2027</t>
  </si>
  <si>
    <t xml:space="preserve">Decay 10</t>
  </si>
  <si>
    <t xml:space="preserve">Nov 2027</t>
  </si>
  <si>
    <t xml:space="preserve">Decay 11</t>
  </si>
  <si>
    <t xml:space="preserve">Dec 2027</t>
  </si>
  <si>
    <t xml:space="preserve">Decay 12</t>
  </si>
  <si>
    <t xml:space="preserve">Jan 2028</t>
  </si>
  <si>
    <t xml:space="preserve">Decay 13</t>
  </si>
  <si>
    <t xml:space="preserve">Feb 2028</t>
  </si>
  <si>
    <t xml:space="preserve">Decay 14</t>
  </si>
  <si>
    <t xml:space="preserve">Mar 2028</t>
  </si>
  <si>
    <t xml:space="preserve">Decay 15</t>
  </si>
  <si>
    <t xml:space="preserve">Apr 2028</t>
  </si>
  <si>
    <t xml:space="preserve">Decay 16</t>
  </si>
  <si>
    <t xml:space="preserve">May 2028</t>
  </si>
  <si>
    <t xml:space="preserve">Decay 17</t>
  </si>
  <si>
    <t xml:space="preserve">Jun 2028</t>
  </si>
  <si>
    <t xml:space="preserve">Decay 18</t>
  </si>
  <si>
    <t xml:space="preserve">Jul 2028</t>
  </si>
  <si>
    <t xml:space="preserve">Decay 19</t>
  </si>
  <si>
    <t xml:space="preserve">Aug 2028</t>
  </si>
  <si>
    <t xml:space="preserve">Decay 20</t>
  </si>
  <si>
    <t xml:space="preserve">TOTAL</t>
  </si>
  <si>
    <t xml:space="preserve">24 months</t>
  </si>
  <si>
    <t xml:space="preserve">📌 เกณฑ์ผ่าน BEP: คอลัมน์ O (vs GM Target) ต้องเป็นบวก  |  สูตร: Cumul GM - Fixed Cost ฿365,712 - GM Target ฿875,000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</si>
</sst>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#,##0.00"/>
    <numFmt numFmtId="168" formatCode="\+#,##0;[RED]\-#,##0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640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9"/>
      <color rgb="FF0064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"/>
      <color rgb="FF777777"/>
      <name val="Arial"/>
      <family val="0"/>
      <charset val="1"/>
    </font>
    <font>
      <sz val="9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006400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5F5F5"/>
        <bgColor rgb="FFE8F4FF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5F5F5"/>
      </patternFill>
    </fill>
    <fill>
      <patternFill patternType="solid">
        <fgColor rgb="FFE7F3E7"/>
        <bgColor rgb="FFE2EFDA"/>
      </patternFill>
    </fill>
    <fill>
      <patternFill patternType="solid">
        <fgColor rgb="FFFFFFFF"/>
        <bgColor rgb="FFF5F5F5"/>
      </patternFill>
    </fill>
    <fill>
      <patternFill patternType="solid">
        <fgColor rgb="FFE2EFDA"/>
        <bgColor rgb="FFE7F3E7"/>
      </patternFill>
    </fill>
    <fill>
      <patternFill patternType="solid">
        <fgColor rgb="FFD6E4F0"/>
        <bgColor rgb="FFDDEBF7"/>
      </patternFill>
    </fill>
    <fill>
      <patternFill patternType="solid">
        <fgColor rgb="FFDDEBF7"/>
        <bgColor rgb="FFD6E4F0"/>
      </patternFill>
    </fill>
    <fill>
      <patternFill patternType="solid">
        <fgColor rgb="FFE8F4FF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2CC"/>
      <rgbColor rgb="FFE8F4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E7F3E7"/>
      <rgbColor rgb="FF99CCFF"/>
      <rgbColor rgb="FFFF99CC"/>
      <rgbColor rgb="FFCC99FF"/>
      <rgbColor rgb="FFF5F5F5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8"/>
    <col collapsed="false" customWidth="true" hidden="false" outlineLevel="0" max="8" min="8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34.5" hidden="false" customHeight="true" outlineLevel="0" collapsed="false">
      <c r="A5" s="5" t="s">
        <v>3</v>
      </c>
      <c r="B5" s="6" t="s">
        <v>4</v>
      </c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A6" s="5" t="s">
        <v>5</v>
      </c>
      <c r="B6" s="6" t="s">
        <v>6</v>
      </c>
      <c r="C6" s="7"/>
      <c r="D6" s="7"/>
      <c r="E6" s="7"/>
      <c r="F6" s="7"/>
      <c r="G6" s="7"/>
      <c r="H6" s="7"/>
    </row>
    <row r="7" customFormat="false" ht="15" hidden="false" customHeight="true" outlineLevel="0" collapsed="false">
      <c r="A7" s="5" t="s">
        <v>7</v>
      </c>
      <c r="B7" s="6" t="s">
        <v>8</v>
      </c>
      <c r="C7" s="7" t="s">
        <v>9</v>
      </c>
      <c r="D7" s="7"/>
      <c r="E7" s="7"/>
      <c r="F7" s="7"/>
      <c r="G7" s="7"/>
      <c r="H7" s="7"/>
    </row>
    <row r="8" customFormat="false" ht="15" hidden="false" customHeight="true" outlineLevel="0" collapsed="false">
      <c r="A8" s="5" t="s">
        <v>10</v>
      </c>
      <c r="B8" s="8" t="n">
        <f aca="false">17/30</f>
        <v>0.566666666666667</v>
      </c>
      <c r="C8" s="7" t="s">
        <v>11</v>
      </c>
      <c r="D8" s="7"/>
      <c r="E8" s="7"/>
      <c r="F8" s="7"/>
      <c r="G8" s="7"/>
      <c r="H8" s="7"/>
    </row>
    <row r="9" customFormat="false" ht="15" hidden="false" customHeight="true" outlineLevel="0" collapsed="false">
      <c r="A9" s="5" t="s">
        <v>12</v>
      </c>
      <c r="B9" s="6" t="s">
        <v>13</v>
      </c>
      <c r="C9" s="7" t="s">
        <v>14</v>
      </c>
      <c r="D9" s="7"/>
      <c r="E9" s="7"/>
      <c r="F9" s="7"/>
      <c r="G9" s="7"/>
      <c r="H9" s="7"/>
    </row>
    <row r="10" customFormat="false" ht="15" hidden="false" customHeight="true" outlineLevel="0" collapsed="false">
      <c r="A10" s="5" t="s">
        <v>15</v>
      </c>
      <c r="B10" s="9" t="n">
        <v>5000</v>
      </c>
      <c r="C10" s="7" t="s">
        <v>16</v>
      </c>
      <c r="D10" s="7"/>
      <c r="E10" s="7"/>
      <c r="F10" s="7"/>
      <c r="G10" s="7"/>
      <c r="H10" s="7"/>
    </row>
    <row r="11" customFormat="false" ht="15" hidden="false" customHeight="true" outlineLevel="0" collapsed="false">
      <c r="A11" s="5" t="s">
        <v>17</v>
      </c>
      <c r="B11" s="9" t="n">
        <v>5000</v>
      </c>
      <c r="C11" s="7" t="s">
        <v>16</v>
      </c>
      <c r="D11" s="7"/>
      <c r="E11" s="7"/>
      <c r="F11" s="7"/>
      <c r="G11" s="7"/>
      <c r="H11" s="7"/>
    </row>
    <row r="12" customFormat="false" ht="15" hidden="false" customHeight="true" outlineLevel="0" collapsed="false">
      <c r="A12" s="5" t="s">
        <v>18</v>
      </c>
      <c r="B12" s="10" t="n">
        <f aca="false">B10+B11</f>
        <v>10000</v>
      </c>
      <c r="C12" s="7" t="s">
        <v>16</v>
      </c>
      <c r="D12" s="7"/>
      <c r="E12" s="7"/>
      <c r="F12" s="7"/>
      <c r="G12" s="7"/>
      <c r="H12" s="7"/>
    </row>
    <row r="14" customFormat="false" ht="18" hidden="false" customHeight="true" outlineLevel="0" collapsed="false">
      <c r="A14" s="4" t="s">
        <v>19</v>
      </c>
      <c r="B14" s="4"/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A15" s="5" t="s">
        <v>20</v>
      </c>
      <c r="B15" s="11" t="n">
        <v>12</v>
      </c>
      <c r="C15" s="7" t="s">
        <v>21</v>
      </c>
      <c r="D15" s="7"/>
      <c r="E15" s="7"/>
      <c r="F15" s="7"/>
      <c r="G15" s="7"/>
      <c r="H15" s="7"/>
    </row>
    <row r="16" customFormat="false" ht="15" hidden="false" customHeight="true" outlineLevel="0" collapsed="false">
      <c r="A16" s="5" t="s">
        <v>22</v>
      </c>
      <c r="B16" s="9" t="n">
        <v>315712</v>
      </c>
      <c r="C16" s="7" t="s">
        <v>23</v>
      </c>
      <c r="D16" s="7"/>
      <c r="E16" s="7"/>
      <c r="F16" s="7"/>
      <c r="G16" s="7"/>
      <c r="H16" s="7"/>
    </row>
    <row r="17" customFormat="false" ht="15" hidden="false" customHeight="true" outlineLevel="0" collapsed="false">
      <c r="A17" s="5" t="s">
        <v>24</v>
      </c>
      <c r="B17" s="9" t="n">
        <v>50000</v>
      </c>
      <c r="C17" s="7" t="s">
        <v>25</v>
      </c>
      <c r="D17" s="7"/>
      <c r="E17" s="7"/>
      <c r="F17" s="7"/>
      <c r="G17" s="7"/>
      <c r="H17" s="7"/>
    </row>
    <row r="18" customFormat="false" ht="15" hidden="false" customHeight="true" outlineLevel="0" collapsed="false">
      <c r="A18" s="5" t="s">
        <v>26</v>
      </c>
      <c r="B18" s="12" t="n">
        <f aca="false">B16+B17</f>
        <v>365712</v>
      </c>
      <c r="C18" s="7" t="s">
        <v>27</v>
      </c>
      <c r="D18" s="7"/>
      <c r="E18" s="7"/>
      <c r="F18" s="7"/>
      <c r="G18" s="7"/>
      <c r="H18" s="7"/>
    </row>
    <row r="20" customFormat="false" ht="18" hidden="false" customHeight="true" outlineLevel="0" collapsed="false">
      <c r="A20" s="4" t="s">
        <v>28</v>
      </c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5" t="s">
        <v>29</v>
      </c>
      <c r="B21" s="9" t="n">
        <v>3500000</v>
      </c>
      <c r="C21" s="7" t="s">
        <v>30</v>
      </c>
      <c r="D21" s="7"/>
      <c r="E21" s="7"/>
      <c r="F21" s="7"/>
      <c r="G21" s="7"/>
      <c r="H21" s="7"/>
    </row>
    <row r="22" customFormat="false" ht="15" hidden="false" customHeight="true" outlineLevel="0" collapsed="false">
      <c r="A22" s="5" t="s">
        <v>31</v>
      </c>
      <c r="B22" s="9" t="n">
        <v>875000</v>
      </c>
      <c r="C22" s="7" t="s">
        <v>32</v>
      </c>
      <c r="D22" s="7"/>
      <c r="E22" s="7"/>
      <c r="F22" s="7"/>
      <c r="G22" s="7"/>
      <c r="H22" s="7"/>
    </row>
    <row r="23" customFormat="false" ht="15" hidden="false" customHeight="true" outlineLevel="0" collapsed="false">
      <c r="A23" s="5" t="s">
        <v>33</v>
      </c>
      <c r="B23" s="8" t="n">
        <f aca="false">B22/B21</f>
        <v>0.25</v>
      </c>
      <c r="C23" s="7"/>
      <c r="D23" s="7"/>
      <c r="E23" s="7"/>
      <c r="F23" s="7"/>
      <c r="G23" s="7"/>
      <c r="H23" s="7"/>
    </row>
    <row r="25" customFormat="false" ht="18" hidden="false" customHeight="true" outlineLevel="0" collapsed="false">
      <c r="A25" s="4" t="s">
        <v>34</v>
      </c>
      <c r="B25" s="4"/>
      <c r="C25" s="4"/>
      <c r="D25" s="4"/>
      <c r="E25" s="4"/>
      <c r="F25" s="4"/>
      <c r="G25" s="4"/>
      <c r="H25" s="4"/>
    </row>
    <row r="26" customFormat="false" ht="19.5" hidden="false" customHeight="true" outlineLevel="0" collapsed="false">
      <c r="A26" s="13" t="s">
        <v>35</v>
      </c>
      <c r="B26" s="13" t="s">
        <v>36</v>
      </c>
      <c r="C26" s="13" t="s">
        <v>37</v>
      </c>
      <c r="D26" s="13" t="s">
        <v>38</v>
      </c>
      <c r="E26" s="13" t="s">
        <v>39</v>
      </c>
      <c r="F26" s="13" t="s">
        <v>40</v>
      </c>
      <c r="G26" s="13" t="s">
        <v>41</v>
      </c>
      <c r="H26" s="13" t="s">
        <v>42</v>
      </c>
    </row>
    <row r="27" customFormat="false" ht="15.75" hidden="false" customHeight="true" outlineLevel="0" collapsed="false">
      <c r="A27" s="14" t="s">
        <v>43</v>
      </c>
      <c r="B27" s="15" t="n">
        <v>199</v>
      </c>
      <c r="C27" s="16" t="n">
        <v>0.43</v>
      </c>
      <c r="D27" s="17" t="n">
        <f aca="false">$B$15</f>
        <v>12</v>
      </c>
      <c r="E27" s="18" t="n">
        <f aca="false">B27*(1-C27)-D27</f>
        <v>101.43</v>
      </c>
      <c r="F27" s="8" t="n">
        <f aca="false">E27/B27</f>
        <v>0.509698492462312</v>
      </c>
      <c r="G27" s="19" t="s">
        <v>44</v>
      </c>
      <c r="H27" s="20" t="s">
        <v>45</v>
      </c>
    </row>
    <row r="28" customFormat="false" ht="15.75" hidden="false" customHeight="true" outlineLevel="0" collapsed="false">
      <c r="A28" s="14" t="s">
        <v>46</v>
      </c>
      <c r="B28" s="9" t="n">
        <v>249</v>
      </c>
      <c r="C28" s="21" t="n">
        <v>0.41</v>
      </c>
      <c r="D28" s="17" t="n">
        <f aca="false">$B$15</f>
        <v>12</v>
      </c>
      <c r="E28" s="18" t="n">
        <f aca="false">B28*(1-C28)-D28</f>
        <v>134.91</v>
      </c>
      <c r="F28" s="8" t="n">
        <f aca="false">E28/B28</f>
        <v>0.541807228915663</v>
      </c>
      <c r="G28" s="19" t="s">
        <v>47</v>
      </c>
      <c r="H28" s="20" t="s">
        <v>48</v>
      </c>
    </row>
    <row r="29" customFormat="false" ht="15.75" hidden="false" customHeight="true" outlineLevel="0" collapsed="false">
      <c r="A29" s="14" t="s">
        <v>49</v>
      </c>
      <c r="B29" s="9" t="n">
        <v>199</v>
      </c>
      <c r="C29" s="21" t="n">
        <v>0.12</v>
      </c>
      <c r="D29" s="17" t="n">
        <f aca="false">$B$15</f>
        <v>12</v>
      </c>
      <c r="E29" s="18" t="n">
        <f aca="false">B29*(1-C29)-D29</f>
        <v>163.12</v>
      </c>
      <c r="F29" s="8" t="n">
        <f aca="false">E29/B29</f>
        <v>0.819698492462312</v>
      </c>
      <c r="G29" s="19" t="s">
        <v>50</v>
      </c>
      <c r="H29" s="20" t="s">
        <v>51</v>
      </c>
    </row>
    <row r="30" customFormat="false" ht="15.75" hidden="false" customHeight="true" outlineLevel="0" collapsed="false">
      <c r="A30" s="14" t="s">
        <v>52</v>
      </c>
      <c r="B30" s="9" t="n">
        <v>329</v>
      </c>
      <c r="C30" s="21" t="n">
        <v>0.03</v>
      </c>
      <c r="D30" s="17" t="n">
        <f aca="false">$B$15</f>
        <v>12</v>
      </c>
      <c r="E30" s="18" t="n">
        <f aca="false">B30*(1-C30)-D30</f>
        <v>307.13</v>
      </c>
      <c r="F30" s="8" t="n">
        <f aca="false">E30/B30</f>
        <v>0.933525835866261</v>
      </c>
      <c r="G30" s="19" t="s">
        <v>53</v>
      </c>
      <c r="H30" s="20" t="s">
        <v>54</v>
      </c>
    </row>
    <row r="31" customFormat="false" ht="15.75" hidden="false" customHeight="true" outlineLevel="0" collapsed="false">
      <c r="A31" s="14" t="s">
        <v>55</v>
      </c>
      <c r="B31" s="15" t="n">
        <v>399</v>
      </c>
      <c r="C31" s="16" t="n">
        <v>0</v>
      </c>
      <c r="D31" s="17" t="n">
        <f aca="false">$B$15</f>
        <v>12</v>
      </c>
      <c r="E31" s="18" t="n">
        <f aca="false">B31*(1-C31)-D31</f>
        <v>387</v>
      </c>
      <c r="F31" s="8" t="n">
        <f aca="false">E31/B31</f>
        <v>0.969924812030075</v>
      </c>
      <c r="G31" s="19" t="s">
        <v>56</v>
      </c>
      <c r="H31" s="20" t="s">
        <v>57</v>
      </c>
    </row>
    <row r="32" customFormat="false" ht="15.75" hidden="false" customHeight="true" outlineLevel="0" collapsed="false">
      <c r="A32" s="14" t="s">
        <v>58</v>
      </c>
      <c r="B32" s="15" t="n">
        <v>299</v>
      </c>
      <c r="C32" s="16" t="n">
        <v>0</v>
      </c>
      <c r="D32" s="17" t="n">
        <f aca="false">$B$15</f>
        <v>12</v>
      </c>
      <c r="E32" s="18" t="n">
        <f aca="false">B32*(1-C32)-D32</f>
        <v>287</v>
      </c>
      <c r="F32" s="8" t="n">
        <f aca="false">E32/B32</f>
        <v>0.959866220735786</v>
      </c>
      <c r="G32" s="19" t="s">
        <v>59</v>
      </c>
      <c r="H32" s="20" t="s">
        <v>45</v>
      </c>
    </row>
    <row r="33" customFormat="false" ht="15" hidden="false" customHeight="true" outlineLevel="0" collapsed="false">
      <c r="A33" s="22" t="s">
        <v>60</v>
      </c>
      <c r="B33" s="22"/>
      <c r="C33" s="22"/>
      <c r="D33" s="22"/>
      <c r="E33" s="22"/>
      <c r="F33" s="22"/>
      <c r="G33" s="22"/>
      <c r="H33" s="22"/>
    </row>
    <row r="35" customFormat="false" ht="18" hidden="false" customHeight="true" outlineLevel="0" collapsed="false">
      <c r="A35" s="4" t="s">
        <v>61</v>
      </c>
      <c r="B35" s="4"/>
      <c r="C35" s="4"/>
      <c r="D35" s="4"/>
      <c r="E35" s="4"/>
      <c r="F35" s="4"/>
      <c r="G35" s="4"/>
      <c r="H35" s="4"/>
    </row>
    <row r="36" customFormat="false" ht="15" hidden="false" customHeight="true" outlineLevel="0" collapsed="false">
      <c r="A36" s="13" t="s">
        <v>35</v>
      </c>
      <c r="B36" s="13" t="s">
        <v>62</v>
      </c>
      <c r="C36" s="13" t="s">
        <v>63</v>
      </c>
      <c r="D36" s="13" t="s">
        <v>64</v>
      </c>
      <c r="E36" s="13" t="s">
        <v>65</v>
      </c>
      <c r="F36" s="13" t="s">
        <v>66</v>
      </c>
      <c r="G36" s="13" t="s">
        <v>67</v>
      </c>
    </row>
    <row r="37" customFormat="false" ht="15" hidden="false" customHeight="true" outlineLevel="0" collapsed="false">
      <c r="A37" s="5" t="s">
        <v>43</v>
      </c>
      <c r="B37" s="21" t="n">
        <v>0.58</v>
      </c>
      <c r="C37" s="23" t="n">
        <f aca="false">B27</f>
        <v>199</v>
      </c>
      <c r="D37" s="18" t="n">
        <f aca="false">B37*C37</f>
        <v>115.42</v>
      </c>
      <c r="E37" s="18" t="n">
        <f aca="false">B37*C37*C27</f>
        <v>49.6306</v>
      </c>
      <c r="F37" s="18" t="n">
        <f aca="false">B37*E27</f>
        <v>58.8294</v>
      </c>
      <c r="G37" s="24"/>
    </row>
    <row r="38" customFormat="false" ht="15" hidden="false" customHeight="true" outlineLevel="0" collapsed="false">
      <c r="A38" s="5" t="s">
        <v>46</v>
      </c>
      <c r="B38" s="21" t="n">
        <v>0.22</v>
      </c>
      <c r="C38" s="23" t="n">
        <f aca="false">B28</f>
        <v>249</v>
      </c>
      <c r="D38" s="18" t="n">
        <f aca="false">B38*C38</f>
        <v>54.78</v>
      </c>
      <c r="E38" s="18" t="n">
        <f aca="false">B38*C38*C28</f>
        <v>22.4598</v>
      </c>
      <c r="F38" s="18" t="n">
        <f aca="false">B38*E28</f>
        <v>29.6802</v>
      </c>
      <c r="G38" s="24"/>
    </row>
    <row r="39" customFormat="false" ht="15" hidden="false" customHeight="true" outlineLevel="0" collapsed="false">
      <c r="A39" s="5" t="s">
        <v>49</v>
      </c>
      <c r="B39" s="21" t="n">
        <v>0.02</v>
      </c>
      <c r="C39" s="23" t="n">
        <f aca="false">B29</f>
        <v>199</v>
      </c>
      <c r="D39" s="18" t="n">
        <f aca="false">B39*C39</f>
        <v>3.98</v>
      </c>
      <c r="E39" s="18" t="n">
        <f aca="false">B39*C39*C29</f>
        <v>0.4776</v>
      </c>
      <c r="F39" s="18" t="n">
        <f aca="false">B39*E29</f>
        <v>3.2624</v>
      </c>
      <c r="G39" s="24"/>
    </row>
    <row r="40" customFormat="false" ht="15" hidden="false" customHeight="true" outlineLevel="0" collapsed="false">
      <c r="A40" s="5" t="s">
        <v>52</v>
      </c>
      <c r="B40" s="21" t="n">
        <v>0.12</v>
      </c>
      <c r="C40" s="23" t="n">
        <f aca="false">B30</f>
        <v>329</v>
      </c>
      <c r="D40" s="18" t="n">
        <f aca="false">B40*C40</f>
        <v>39.48</v>
      </c>
      <c r="E40" s="18" t="n">
        <f aca="false">B40*C40*C30</f>
        <v>1.1844</v>
      </c>
      <c r="F40" s="18" t="n">
        <f aca="false">B40*E30</f>
        <v>36.8556</v>
      </c>
      <c r="G40" s="24"/>
    </row>
    <row r="41" customFormat="false" ht="15" hidden="false" customHeight="true" outlineLevel="0" collapsed="false">
      <c r="A41" s="5" t="s">
        <v>55</v>
      </c>
      <c r="B41" s="21" t="n">
        <v>0.04</v>
      </c>
      <c r="C41" s="23" t="n">
        <f aca="false">B31</f>
        <v>399</v>
      </c>
      <c r="D41" s="18" t="n">
        <f aca="false">B41*C41</f>
        <v>15.96</v>
      </c>
      <c r="E41" s="18" t="n">
        <f aca="false">B41*C41*C31</f>
        <v>0</v>
      </c>
      <c r="F41" s="18" t="n">
        <f aca="false">B41*E31</f>
        <v>15.48</v>
      </c>
      <c r="G41" s="24"/>
    </row>
    <row r="42" customFormat="false" ht="15" hidden="false" customHeight="true" outlineLevel="0" collapsed="false">
      <c r="A42" s="5" t="s">
        <v>58</v>
      </c>
      <c r="B42" s="21" t="n">
        <v>0.02</v>
      </c>
      <c r="C42" s="23" t="n">
        <f aca="false">B32</f>
        <v>299</v>
      </c>
      <c r="D42" s="18" t="n">
        <f aca="false">B42*C42</f>
        <v>5.98</v>
      </c>
      <c r="E42" s="18" t="n">
        <f aca="false">B42*C42*C32</f>
        <v>0</v>
      </c>
      <c r="F42" s="18" t="n">
        <f aca="false">B42*E32</f>
        <v>5.74</v>
      </c>
      <c r="G42" s="24"/>
    </row>
    <row r="43" customFormat="false" ht="15" hidden="false" customHeight="true" outlineLevel="0" collapsed="false">
      <c r="A43" s="25" t="s">
        <v>68</v>
      </c>
      <c r="B43" s="26" t="n">
        <f aca="false">SUM(B37:B42)</f>
        <v>1</v>
      </c>
      <c r="C43" s="27" t="s">
        <v>69</v>
      </c>
      <c r="D43" s="28" t="n">
        <f aca="false">SUM(D37:D42)</f>
        <v>235.6</v>
      </c>
      <c r="E43" s="28" t="n">
        <f aca="false">SUM(E37:E42)</f>
        <v>73.7524</v>
      </c>
      <c r="F43" s="28" t="n">
        <f aca="false">SUM(F37:F42)</f>
        <v>149.8476</v>
      </c>
      <c r="G43" s="29" t="s">
        <v>70</v>
      </c>
    </row>
    <row r="45" customFormat="false" ht="18" hidden="false" customHeight="true" outlineLevel="0" collapsed="false">
      <c r="A45" s="4" t="s">
        <v>71</v>
      </c>
      <c r="B45" s="4"/>
      <c r="C45" s="4"/>
      <c r="D45" s="4"/>
      <c r="E45" s="4"/>
      <c r="F45" s="4"/>
      <c r="G45" s="4"/>
      <c r="H45" s="4"/>
    </row>
    <row r="46" customFormat="false" ht="15" hidden="false" customHeight="true" outlineLevel="0" collapsed="false">
      <c r="A46" s="14" t="s">
        <v>72</v>
      </c>
      <c r="B46" s="18" t="n">
        <f aca="false">D43</f>
        <v>235.6</v>
      </c>
      <c r="C46" s="30"/>
      <c r="D46" s="30"/>
      <c r="E46" s="30"/>
      <c r="F46" s="30"/>
      <c r="G46" s="30"/>
      <c r="H46" s="30"/>
    </row>
    <row r="47" customFormat="false" ht="15" hidden="false" customHeight="true" outlineLevel="0" collapsed="false">
      <c r="A47" s="14" t="s">
        <v>73</v>
      </c>
      <c r="B47" s="18" t="n">
        <f aca="false">E43</f>
        <v>73.7524</v>
      </c>
      <c r="C47" s="30"/>
      <c r="D47" s="30"/>
      <c r="E47" s="30"/>
      <c r="F47" s="30"/>
      <c r="G47" s="30"/>
      <c r="H47" s="30"/>
    </row>
    <row r="48" customFormat="false" ht="15" hidden="false" customHeight="true" outlineLevel="0" collapsed="false">
      <c r="A48" s="14" t="s">
        <v>74</v>
      </c>
      <c r="B48" s="18" t="n">
        <f aca="false">$B$15</f>
        <v>12</v>
      </c>
      <c r="C48" s="30"/>
      <c r="D48" s="30"/>
      <c r="E48" s="30"/>
      <c r="F48" s="30"/>
      <c r="G48" s="30"/>
      <c r="H48" s="30"/>
    </row>
    <row r="49" customFormat="false" ht="15" hidden="false" customHeight="true" outlineLevel="0" collapsed="false">
      <c r="A49" s="31" t="s">
        <v>75</v>
      </c>
      <c r="B49" s="32" t="n">
        <f aca="false">B46-B47-B48</f>
        <v>149.8476</v>
      </c>
      <c r="C49" s="30"/>
      <c r="D49" s="30"/>
      <c r="E49" s="30"/>
      <c r="F49" s="30"/>
      <c r="G49" s="30"/>
      <c r="H49" s="30"/>
    </row>
    <row r="50" customFormat="false" ht="15" hidden="false" customHeight="true" outlineLevel="0" collapsed="false">
      <c r="A50" s="14" t="s">
        <v>76</v>
      </c>
      <c r="B50" s="8" t="n">
        <f aca="false">B49/B46</f>
        <v>0.636025466893039</v>
      </c>
      <c r="C50" s="30"/>
      <c r="D50" s="30"/>
      <c r="E50" s="30"/>
      <c r="F50" s="30"/>
      <c r="G50" s="30"/>
      <c r="H50" s="30"/>
    </row>
    <row r="51" customFormat="false" ht="15" hidden="false" customHeight="true" outlineLevel="0" collapsed="false">
      <c r="A51" s="33"/>
      <c r="B51" s="34"/>
      <c r="C51" s="35"/>
      <c r="D51" s="36"/>
      <c r="E51" s="36"/>
      <c r="F51" s="36"/>
      <c r="G51" s="36"/>
      <c r="H51" s="36"/>
    </row>
    <row r="52" customFormat="false" ht="15" hidden="false" customHeight="true" outlineLevel="0" collapsed="false">
      <c r="A52" s="14" t="s">
        <v>22</v>
      </c>
      <c r="B52" s="10" t="n">
        <f aca="false">$B$16</f>
        <v>315712</v>
      </c>
      <c r="C52" s="30"/>
      <c r="D52" s="30"/>
      <c r="E52" s="30"/>
      <c r="F52" s="30"/>
      <c r="G52" s="30"/>
      <c r="H52" s="30"/>
    </row>
    <row r="53" customFormat="false" ht="15" hidden="false" customHeight="true" outlineLevel="0" collapsed="false">
      <c r="A53" s="14" t="s">
        <v>77</v>
      </c>
      <c r="B53" s="10" t="n">
        <f aca="false">$B$17</f>
        <v>50000</v>
      </c>
      <c r="C53" s="30"/>
      <c r="D53" s="30"/>
      <c r="E53" s="30"/>
      <c r="F53" s="30"/>
      <c r="G53" s="30"/>
      <c r="H53" s="30"/>
    </row>
    <row r="54" customFormat="false" ht="15" hidden="false" customHeight="true" outlineLevel="0" collapsed="false">
      <c r="A54" s="14" t="s">
        <v>78</v>
      </c>
      <c r="B54" s="10" t="n">
        <f aca="false">B52+B53</f>
        <v>365712</v>
      </c>
      <c r="C54" s="30"/>
      <c r="D54" s="30"/>
      <c r="E54" s="30"/>
      <c r="F54" s="30"/>
      <c r="G54" s="30"/>
      <c r="H54" s="30"/>
    </row>
    <row r="55" customFormat="false" ht="15" hidden="false" customHeight="true" outlineLevel="0" collapsed="false">
      <c r="A55" s="5"/>
      <c r="B55" s="6"/>
      <c r="C55" s="30"/>
      <c r="D55" s="30"/>
      <c r="E55" s="30"/>
      <c r="F55" s="30"/>
      <c r="G55" s="30"/>
      <c r="H55" s="30"/>
    </row>
    <row r="56" customFormat="false" ht="15" hidden="false" customHeight="true" outlineLevel="0" collapsed="false">
      <c r="A56" s="31" t="s">
        <v>79</v>
      </c>
      <c r="B56" s="37" t="n">
        <f aca="false">IFERROR(B54/B49,"N/A")</f>
        <v>2440.5596085623</v>
      </c>
      <c r="C56" s="30"/>
      <c r="D56" s="30"/>
      <c r="E56" s="30"/>
      <c r="F56" s="30"/>
      <c r="G56" s="30"/>
      <c r="H56" s="30"/>
    </row>
    <row r="57" customFormat="false" ht="15" hidden="false" customHeight="true" outlineLevel="0" collapsed="false">
      <c r="A57" s="14" t="s">
        <v>80</v>
      </c>
      <c r="B57" s="10" t="n">
        <f aca="false">IFERROR(B56*B46,"N/A")</f>
        <v>574995.843777278</v>
      </c>
      <c r="C57" s="30"/>
      <c r="D57" s="30"/>
      <c r="E57" s="30"/>
      <c r="F57" s="30"/>
      <c r="G57" s="30"/>
      <c r="H57" s="30"/>
    </row>
    <row r="58" customFormat="false" ht="15" hidden="false" customHeight="true" outlineLevel="0" collapsed="false">
      <c r="A58" s="31" t="s">
        <v>81</v>
      </c>
      <c r="B58" s="37" t="n">
        <f aca="false">IFERROR((B22+B54)/B49,"N/A")</f>
        <v>8279.82563617969</v>
      </c>
      <c r="C58" s="30"/>
      <c r="D58" s="30"/>
      <c r="E58" s="30"/>
      <c r="F58" s="30"/>
      <c r="G58" s="30"/>
      <c r="H58" s="30"/>
    </row>
  </sheetData>
  <mergeCells count="36">
    <mergeCell ref="A1:H1"/>
    <mergeCell ref="A2:H2"/>
    <mergeCell ref="A4:H4"/>
    <mergeCell ref="C5:H5"/>
    <mergeCell ref="C6:H6"/>
    <mergeCell ref="C7:H7"/>
    <mergeCell ref="C8:H8"/>
    <mergeCell ref="C9:H9"/>
    <mergeCell ref="C10:H10"/>
    <mergeCell ref="C11:H11"/>
    <mergeCell ref="C12:H12"/>
    <mergeCell ref="A14:H14"/>
    <mergeCell ref="C15:H15"/>
    <mergeCell ref="C16:H16"/>
    <mergeCell ref="C17:H17"/>
    <mergeCell ref="C18:H18"/>
    <mergeCell ref="A20:H20"/>
    <mergeCell ref="C21:H21"/>
    <mergeCell ref="C22:H22"/>
    <mergeCell ref="C23:H23"/>
    <mergeCell ref="A25:H25"/>
    <mergeCell ref="A33:H33"/>
    <mergeCell ref="A35:H35"/>
    <mergeCell ref="A45:H45"/>
    <mergeCell ref="C46:H46"/>
    <mergeCell ref="C47:H47"/>
    <mergeCell ref="C48:H48"/>
    <mergeCell ref="C49:H49"/>
    <mergeCell ref="C50:H50"/>
    <mergeCell ref="C52:H52"/>
    <mergeCell ref="C53:H53"/>
    <mergeCell ref="C54:H54"/>
    <mergeCell ref="C55:H55"/>
    <mergeCell ref="C56:H56"/>
    <mergeCell ref="C57:H57"/>
    <mergeCell ref="C58:H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9" min="4" style="1" width="10"/>
    <col collapsed="false" customWidth="true" hidden="false" outlineLevel="0" max="12" min="10" style="1" width="14"/>
    <col collapsed="false" customWidth="true" hidden="false" outlineLevel="0" max="13" min="13" style="1" width="10"/>
    <col collapsed="false" customWidth="true" hidden="false" outlineLevel="0" max="15" min="14" style="1" width="16"/>
  </cols>
  <sheetData>
    <row r="1" customFormat="false" ht="25.5" hidden="false" customHeight="true" outlineLevel="0" collapsed="false">
      <c r="A1" s="38" t="s">
        <v>82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customFormat="false" ht="15" hidden="false" customHeight="true" outlineLevel="0" collapsed="false">
      <c r="A2" s="3" t="s">
        <v>83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25.5" hidden="false" customHeight="true" outlineLevel="0" collapsed="false">
      <c r="A3" s="13" t="s">
        <v>84</v>
      </c>
      <c r="B3" s="13" t="s">
        <v>85</v>
      </c>
      <c r="C3" s="13" t="s">
        <v>86</v>
      </c>
      <c r="D3" s="13" t="s">
        <v>87</v>
      </c>
      <c r="E3" s="13" t="s">
        <v>46</v>
      </c>
      <c r="F3" s="13" t="s">
        <v>88</v>
      </c>
      <c r="G3" s="13" t="s">
        <v>52</v>
      </c>
      <c r="H3" s="13" t="s">
        <v>89</v>
      </c>
      <c r="I3" s="13" t="s">
        <v>90</v>
      </c>
      <c r="J3" s="13" t="s">
        <v>91</v>
      </c>
      <c r="K3" s="13" t="s">
        <v>92</v>
      </c>
      <c r="L3" s="13" t="s">
        <v>93</v>
      </c>
      <c r="M3" s="13" t="s">
        <v>94</v>
      </c>
      <c r="N3" s="13" t="s">
        <v>95</v>
      </c>
      <c r="O3" s="13" t="s">
        <v>96</v>
      </c>
    </row>
    <row r="4" customFormat="false" ht="15" hidden="false" customHeight="true" outlineLevel="0" collapsed="false">
      <c r="A4" s="6" t="s">
        <v>97</v>
      </c>
      <c r="B4" s="39" t="s">
        <v>98</v>
      </c>
      <c r="C4" s="9" t="n">
        <v>570</v>
      </c>
      <c r="D4" s="40" t="n">
        <f aca="false">ROUND(C4*0.58,0)</f>
        <v>331</v>
      </c>
      <c r="E4" s="40" t="n">
        <f aca="false">ROUND(C4*0.22,0)</f>
        <v>125</v>
      </c>
      <c r="F4" s="40" t="n">
        <f aca="false">ROUND(C4*0.02,0)</f>
        <v>11</v>
      </c>
      <c r="G4" s="40" t="n">
        <f aca="false">ROUND(C4*0.12,0)</f>
        <v>68</v>
      </c>
      <c r="H4" s="40" t="n">
        <f aca="false">ROUND(C4*0.04,0)</f>
        <v>23</v>
      </c>
      <c r="I4" s="40" t="n">
        <f aca="false">ROUND(C4*0.02,0)</f>
        <v>11</v>
      </c>
      <c r="J4" s="10" t="n">
        <f aca="false">D4*199+E4*249+F4*199+G4*329+H4*399+I4*299</f>
        <v>134021</v>
      </c>
      <c r="K4" s="41" t="n">
        <f aca="false">D4*199*0.43+E4*249*0.41+F4*199*0.12+G4*329*0.03</f>
        <v>42018.76</v>
      </c>
      <c r="L4" s="10" t="n">
        <f aca="false">J4-K4-C4*12</f>
        <v>85162.24</v>
      </c>
      <c r="M4" s="8" t="n">
        <f aca="false">IFERROR(L4/J4,0)</f>
        <v>0.635439520672133</v>
      </c>
      <c r="N4" s="10" t="n">
        <f aca="false">L4</f>
        <v>85162.24</v>
      </c>
      <c r="O4" s="42" t="n">
        <f aca="false">N4-365712-875000</f>
        <v>-1155549.76</v>
      </c>
    </row>
    <row r="5" customFormat="false" ht="15" hidden="false" customHeight="true" outlineLevel="0" collapsed="false">
      <c r="A5" s="43" t="s">
        <v>99</v>
      </c>
      <c r="B5" s="44" t="s">
        <v>100</v>
      </c>
      <c r="C5" s="9" t="n">
        <v>1000</v>
      </c>
      <c r="D5" s="40" t="n">
        <f aca="false">ROUND(C5*0.58,0)</f>
        <v>580</v>
      </c>
      <c r="E5" s="40" t="n">
        <f aca="false">ROUND(C5*0.22,0)</f>
        <v>220</v>
      </c>
      <c r="F5" s="40" t="n">
        <f aca="false">ROUND(C5*0.02,0)</f>
        <v>20</v>
      </c>
      <c r="G5" s="40" t="n">
        <f aca="false">ROUND(C5*0.12,0)</f>
        <v>120</v>
      </c>
      <c r="H5" s="40" t="n">
        <f aca="false">ROUND(C5*0.04,0)</f>
        <v>40</v>
      </c>
      <c r="I5" s="40" t="n">
        <f aca="false">ROUND(C5*0.02,0)</f>
        <v>20</v>
      </c>
      <c r="J5" s="10" t="n">
        <f aca="false">D5*199+E5*249+F5*199+G5*329+H5*399+I5*299</f>
        <v>235600</v>
      </c>
      <c r="K5" s="41" t="n">
        <f aca="false">D5*199*0.43+E5*249*0.41+F5*199*0.12+G5*329*0.03</f>
        <v>73752.4</v>
      </c>
      <c r="L5" s="10" t="n">
        <f aca="false">J5-K5-C5*12</f>
        <v>149847.6</v>
      </c>
      <c r="M5" s="8" t="n">
        <f aca="false">IFERROR(L5/J5,0)</f>
        <v>0.636025466893039</v>
      </c>
      <c r="N5" s="10" t="n">
        <f aca="false">N4+L5</f>
        <v>235009.84</v>
      </c>
      <c r="O5" s="42" t="n">
        <f aca="false">N5-365712-875000</f>
        <v>-1005702.16</v>
      </c>
    </row>
    <row r="6" customFormat="false" ht="15" hidden="false" customHeight="true" outlineLevel="0" collapsed="false">
      <c r="A6" s="43" t="s">
        <v>101</v>
      </c>
      <c r="B6" s="44" t="s">
        <v>100</v>
      </c>
      <c r="C6" s="9" t="n">
        <v>1000</v>
      </c>
      <c r="D6" s="40" t="n">
        <f aca="false">ROUND(C6*0.58,0)</f>
        <v>580</v>
      </c>
      <c r="E6" s="40" t="n">
        <f aca="false">ROUND(C6*0.22,0)</f>
        <v>220</v>
      </c>
      <c r="F6" s="40" t="n">
        <f aca="false">ROUND(C6*0.02,0)</f>
        <v>20</v>
      </c>
      <c r="G6" s="40" t="n">
        <f aca="false">ROUND(C6*0.12,0)</f>
        <v>120</v>
      </c>
      <c r="H6" s="40" t="n">
        <f aca="false">ROUND(C6*0.04,0)</f>
        <v>40</v>
      </c>
      <c r="I6" s="40" t="n">
        <f aca="false">ROUND(C6*0.02,0)</f>
        <v>20</v>
      </c>
      <c r="J6" s="10" t="n">
        <f aca="false">D6*199+E6*249+F6*199+G6*329+H6*399+I6*299</f>
        <v>235600</v>
      </c>
      <c r="K6" s="41" t="n">
        <f aca="false">D6*199*0.43+E6*249*0.41+F6*199*0.12+G6*329*0.03</f>
        <v>73752.4</v>
      </c>
      <c r="L6" s="10" t="n">
        <f aca="false">J6-K6-C6*12</f>
        <v>149847.6</v>
      </c>
      <c r="M6" s="8" t="n">
        <f aca="false">IFERROR(L6/J6,0)</f>
        <v>0.636025466893039</v>
      </c>
      <c r="N6" s="10" t="n">
        <f aca="false">N5+L6</f>
        <v>384857.44</v>
      </c>
      <c r="O6" s="42" t="n">
        <f aca="false">N6-365712-875000</f>
        <v>-855854.56</v>
      </c>
    </row>
    <row r="7" customFormat="false" ht="15" hidden="false" customHeight="true" outlineLevel="0" collapsed="false">
      <c r="A7" s="43" t="s">
        <v>102</v>
      </c>
      <c r="B7" s="44" t="s">
        <v>100</v>
      </c>
      <c r="C7" s="9" t="n">
        <v>1000</v>
      </c>
      <c r="D7" s="40" t="n">
        <f aca="false">ROUND(C7*0.58,0)</f>
        <v>580</v>
      </c>
      <c r="E7" s="40" t="n">
        <f aca="false">ROUND(C7*0.22,0)</f>
        <v>220</v>
      </c>
      <c r="F7" s="40" t="n">
        <f aca="false">ROUND(C7*0.02,0)</f>
        <v>20</v>
      </c>
      <c r="G7" s="40" t="n">
        <f aca="false">ROUND(C7*0.12,0)</f>
        <v>120</v>
      </c>
      <c r="H7" s="40" t="n">
        <f aca="false">ROUND(C7*0.04,0)</f>
        <v>40</v>
      </c>
      <c r="I7" s="40" t="n">
        <f aca="false">ROUND(C7*0.02,0)</f>
        <v>20</v>
      </c>
      <c r="J7" s="10" t="n">
        <f aca="false">D7*199+E7*249+F7*199+G7*329+H7*399+I7*299</f>
        <v>235600</v>
      </c>
      <c r="K7" s="41" t="n">
        <f aca="false">D7*199*0.43+E7*249*0.41+F7*199*0.12+G7*329*0.03</f>
        <v>73752.4</v>
      </c>
      <c r="L7" s="10" t="n">
        <f aca="false">J7-K7-C7*12</f>
        <v>149847.6</v>
      </c>
      <c r="M7" s="8" t="n">
        <f aca="false">IFERROR(L7/J7,0)</f>
        <v>0.636025466893039</v>
      </c>
      <c r="N7" s="10" t="n">
        <f aca="false">N6+L7</f>
        <v>534705.04</v>
      </c>
      <c r="O7" s="42" t="n">
        <f aca="false">N7-365712-875000</f>
        <v>-706006.96</v>
      </c>
    </row>
    <row r="8" customFormat="false" ht="15" hidden="false" customHeight="true" outlineLevel="0" collapsed="false">
      <c r="A8" s="6" t="s">
        <v>103</v>
      </c>
      <c r="B8" s="39" t="s">
        <v>104</v>
      </c>
      <c r="C8" s="9" t="n">
        <v>800</v>
      </c>
      <c r="D8" s="40" t="n">
        <f aca="false">ROUND(C8*0.58,0)</f>
        <v>464</v>
      </c>
      <c r="E8" s="40" t="n">
        <f aca="false">ROUND(C8*0.22,0)</f>
        <v>176</v>
      </c>
      <c r="F8" s="40" t="n">
        <f aca="false">ROUND(C8*0.02,0)</f>
        <v>16</v>
      </c>
      <c r="G8" s="40" t="n">
        <f aca="false">ROUND(C8*0.12,0)</f>
        <v>96</v>
      </c>
      <c r="H8" s="40" t="n">
        <f aca="false">ROUND(C8*0.04,0)</f>
        <v>32</v>
      </c>
      <c r="I8" s="40" t="n">
        <f aca="false">ROUND(C8*0.02,0)</f>
        <v>16</v>
      </c>
      <c r="J8" s="10" t="n">
        <f aca="false">D8*199+E8*249+F8*199+G8*329+H8*399+I8*299</f>
        <v>188480</v>
      </c>
      <c r="K8" s="41" t="n">
        <f aca="false">D8*199*0.43+E8*249*0.41+F8*199*0.12+G8*329*0.03</f>
        <v>59001.92</v>
      </c>
      <c r="L8" s="10" t="n">
        <f aca="false">J8-K8-C8*12</f>
        <v>119878.08</v>
      </c>
      <c r="M8" s="8" t="n">
        <f aca="false">IFERROR(L8/J8,0)</f>
        <v>0.636025466893039</v>
      </c>
      <c r="N8" s="10" t="n">
        <f aca="false">N7+L8</f>
        <v>654583.12</v>
      </c>
      <c r="O8" s="42" t="n">
        <f aca="false">N8-365712-875000</f>
        <v>-586128.88</v>
      </c>
    </row>
    <row r="9" customFormat="false" ht="15" hidden="false" customHeight="true" outlineLevel="0" collapsed="false">
      <c r="A9" s="6" t="s">
        <v>105</v>
      </c>
      <c r="B9" s="39" t="s">
        <v>106</v>
      </c>
      <c r="C9" s="9" t="n">
        <v>650</v>
      </c>
      <c r="D9" s="40" t="n">
        <f aca="false">ROUND(C9*0.58,0)</f>
        <v>377</v>
      </c>
      <c r="E9" s="40" t="n">
        <f aca="false">ROUND(C9*0.22,0)</f>
        <v>143</v>
      </c>
      <c r="F9" s="40" t="n">
        <f aca="false">ROUND(C9*0.02,0)</f>
        <v>13</v>
      </c>
      <c r="G9" s="40" t="n">
        <f aca="false">ROUND(C9*0.12,0)</f>
        <v>78</v>
      </c>
      <c r="H9" s="40" t="n">
        <f aca="false">ROUND(C9*0.04,0)</f>
        <v>26</v>
      </c>
      <c r="I9" s="40" t="n">
        <f aca="false">ROUND(C9*0.02,0)</f>
        <v>13</v>
      </c>
      <c r="J9" s="10" t="n">
        <f aca="false">D9*199+E9*249+F9*199+G9*329+H9*399+I9*299</f>
        <v>153140</v>
      </c>
      <c r="K9" s="41" t="n">
        <f aca="false">D9*199*0.43+E9*249*0.41+F9*199*0.12+G9*329*0.03</f>
        <v>47939.06</v>
      </c>
      <c r="L9" s="10" t="n">
        <f aca="false">J9-K9-C9*12</f>
        <v>97400.94</v>
      </c>
      <c r="M9" s="8" t="n">
        <f aca="false">IFERROR(L9/J9,0)</f>
        <v>0.636025466893039</v>
      </c>
      <c r="N9" s="10" t="n">
        <f aca="false">N8+L9</f>
        <v>751984.06</v>
      </c>
      <c r="O9" s="42" t="n">
        <f aca="false">N9-365712-875000</f>
        <v>-488727.94</v>
      </c>
    </row>
    <row r="10" customFormat="false" ht="15" hidden="false" customHeight="true" outlineLevel="0" collapsed="false">
      <c r="A10" s="6" t="s">
        <v>107</v>
      </c>
      <c r="B10" s="39" t="s">
        <v>108</v>
      </c>
      <c r="C10" s="9" t="n">
        <v>550</v>
      </c>
      <c r="D10" s="40" t="n">
        <f aca="false">ROUND(C10*0.58,0)</f>
        <v>319</v>
      </c>
      <c r="E10" s="40" t="n">
        <f aca="false">ROUND(C10*0.22,0)</f>
        <v>121</v>
      </c>
      <c r="F10" s="40" t="n">
        <f aca="false">ROUND(C10*0.02,0)</f>
        <v>11</v>
      </c>
      <c r="G10" s="40" t="n">
        <f aca="false">ROUND(C10*0.12,0)</f>
        <v>66</v>
      </c>
      <c r="H10" s="40" t="n">
        <f aca="false">ROUND(C10*0.04,0)</f>
        <v>22</v>
      </c>
      <c r="I10" s="40" t="n">
        <f aca="false">ROUND(C10*0.02,0)</f>
        <v>11</v>
      </c>
      <c r="J10" s="10" t="n">
        <f aca="false">D10*199+E10*249+F10*199+G10*329+H10*399+I10*299</f>
        <v>129580</v>
      </c>
      <c r="K10" s="41" t="n">
        <f aca="false">D10*199*0.43+E10*249*0.41+F10*199*0.12+G10*329*0.03</f>
        <v>40563.82</v>
      </c>
      <c r="L10" s="10" t="n">
        <f aca="false">J10-K10-C10*12</f>
        <v>82416.18</v>
      </c>
      <c r="M10" s="8" t="n">
        <f aca="false">IFERROR(L10/J10,0)</f>
        <v>0.636025466893039</v>
      </c>
      <c r="N10" s="10" t="n">
        <f aca="false">N9+L10</f>
        <v>834400.24</v>
      </c>
      <c r="O10" s="42" t="n">
        <f aca="false">N10-365712-875000</f>
        <v>-406311.76</v>
      </c>
    </row>
    <row r="11" customFormat="false" ht="15" hidden="false" customHeight="true" outlineLevel="0" collapsed="false">
      <c r="A11" s="6" t="s">
        <v>109</v>
      </c>
      <c r="B11" s="39" t="s">
        <v>110</v>
      </c>
      <c r="C11" s="9" t="n">
        <v>450</v>
      </c>
      <c r="D11" s="40" t="n">
        <f aca="false">ROUND(C11*0.58,0)</f>
        <v>261</v>
      </c>
      <c r="E11" s="40" t="n">
        <f aca="false">ROUND(C11*0.22,0)</f>
        <v>99</v>
      </c>
      <c r="F11" s="40" t="n">
        <f aca="false">ROUND(C11*0.02,0)</f>
        <v>9</v>
      </c>
      <c r="G11" s="40" t="n">
        <f aca="false">ROUND(C11*0.12,0)</f>
        <v>54</v>
      </c>
      <c r="H11" s="40" t="n">
        <f aca="false">ROUND(C11*0.04,0)</f>
        <v>18</v>
      </c>
      <c r="I11" s="40" t="n">
        <f aca="false">ROUND(C11*0.02,0)</f>
        <v>9</v>
      </c>
      <c r="J11" s="10" t="n">
        <f aca="false">D11*199+E11*249+F11*199+G11*329+H11*399+I11*299</f>
        <v>106020</v>
      </c>
      <c r="K11" s="41" t="n">
        <f aca="false">D11*199*0.43+E11*249*0.41+F11*199*0.12+G11*329*0.03</f>
        <v>33188.58</v>
      </c>
      <c r="L11" s="10" t="n">
        <f aca="false">J11-K11-C11*12</f>
        <v>67431.42</v>
      </c>
      <c r="M11" s="8" t="n">
        <f aca="false">IFERROR(L11/J11,0)</f>
        <v>0.636025466893039</v>
      </c>
      <c r="N11" s="10" t="n">
        <f aca="false">N10+L11</f>
        <v>901831.66</v>
      </c>
      <c r="O11" s="42" t="n">
        <f aca="false">N11-365712-875000</f>
        <v>-338880.34</v>
      </c>
    </row>
    <row r="12" customFormat="false" ht="15" hidden="false" customHeight="true" outlineLevel="0" collapsed="false">
      <c r="A12" s="6" t="s">
        <v>111</v>
      </c>
      <c r="B12" s="39" t="s">
        <v>112</v>
      </c>
      <c r="C12" s="9" t="n">
        <v>380</v>
      </c>
      <c r="D12" s="40" t="n">
        <f aca="false">ROUND(C12*0.58,0)</f>
        <v>220</v>
      </c>
      <c r="E12" s="40" t="n">
        <f aca="false">ROUND(C12*0.22,0)</f>
        <v>84</v>
      </c>
      <c r="F12" s="40" t="n">
        <f aca="false">ROUND(C12*0.02,0)</f>
        <v>8</v>
      </c>
      <c r="G12" s="40" t="n">
        <f aca="false">ROUND(C12*0.12,0)</f>
        <v>46</v>
      </c>
      <c r="H12" s="40" t="n">
        <f aca="false">ROUND(C12*0.04,0)</f>
        <v>15</v>
      </c>
      <c r="I12" s="40" t="n">
        <f aca="false">ROUND(C12*0.02,0)</f>
        <v>8</v>
      </c>
      <c r="J12" s="10" t="n">
        <f aca="false">D12*199+E12*249+F12*199+G12*329+H12*399+I12*299</f>
        <v>89799</v>
      </c>
      <c r="K12" s="41" t="n">
        <f aca="false">D12*199*0.43+E12*249*0.41+F12*199*0.12+G12*329*0.03</f>
        <v>28046.02</v>
      </c>
      <c r="L12" s="10" t="n">
        <f aca="false">J12-K12-C12*12</f>
        <v>57192.98</v>
      </c>
      <c r="M12" s="8" t="n">
        <f aca="false">IFERROR(L12/J12,0)</f>
        <v>0.636899965478457</v>
      </c>
      <c r="N12" s="10" t="n">
        <f aca="false">N11+L12</f>
        <v>959024.64</v>
      </c>
      <c r="O12" s="42" t="n">
        <f aca="false">N12-365712-875000</f>
        <v>-281687.36</v>
      </c>
    </row>
    <row r="13" customFormat="false" ht="15" hidden="false" customHeight="true" outlineLevel="0" collapsed="false">
      <c r="A13" s="6" t="s">
        <v>113</v>
      </c>
      <c r="B13" s="39" t="s">
        <v>114</v>
      </c>
      <c r="C13" s="9" t="n">
        <v>320</v>
      </c>
      <c r="D13" s="40" t="n">
        <f aca="false">ROUND(C13*0.58,0)</f>
        <v>186</v>
      </c>
      <c r="E13" s="40" t="n">
        <f aca="false">ROUND(C13*0.22,0)</f>
        <v>70</v>
      </c>
      <c r="F13" s="40" t="n">
        <f aca="false">ROUND(C13*0.02,0)</f>
        <v>6</v>
      </c>
      <c r="G13" s="40" t="n">
        <f aca="false">ROUND(C13*0.12,0)</f>
        <v>38</v>
      </c>
      <c r="H13" s="40" t="n">
        <f aca="false">ROUND(C13*0.04,0)</f>
        <v>13</v>
      </c>
      <c r="I13" s="40" t="n">
        <f aca="false">ROUND(C13*0.02,0)</f>
        <v>6</v>
      </c>
      <c r="J13" s="10" t="n">
        <f aca="false">D13*199+E13*249+F13*199+G13*329+H13*399+I13*299</f>
        <v>75121</v>
      </c>
      <c r="K13" s="41" t="n">
        <f aca="false">D13*199*0.43+E13*249*0.41+F13*199*0.12+G13*329*0.03</f>
        <v>23580.66</v>
      </c>
      <c r="L13" s="10" t="n">
        <f aca="false">J13-K13-C13*12</f>
        <v>47700.34</v>
      </c>
      <c r="M13" s="8" t="n">
        <f aca="false">IFERROR(L13/J13,0)</f>
        <v>0.634980098773978</v>
      </c>
      <c r="N13" s="10" t="n">
        <f aca="false">N12+L13</f>
        <v>1006724.98</v>
      </c>
      <c r="O13" s="42" t="n">
        <f aca="false">N13-365712-875000</f>
        <v>-233987.02</v>
      </c>
    </row>
    <row r="14" customFormat="false" ht="15" hidden="false" customHeight="true" outlineLevel="0" collapsed="false">
      <c r="A14" s="6" t="s">
        <v>115</v>
      </c>
      <c r="B14" s="39" t="s">
        <v>116</v>
      </c>
      <c r="C14" s="9" t="n">
        <v>270</v>
      </c>
      <c r="D14" s="40" t="n">
        <f aca="false">ROUND(C14*0.58,0)</f>
        <v>157</v>
      </c>
      <c r="E14" s="40" t="n">
        <f aca="false">ROUND(C14*0.22,0)</f>
        <v>59</v>
      </c>
      <c r="F14" s="40" t="n">
        <f aca="false">ROUND(C14*0.02,0)</f>
        <v>5</v>
      </c>
      <c r="G14" s="40" t="n">
        <f aca="false">ROUND(C14*0.12,0)</f>
        <v>32</v>
      </c>
      <c r="H14" s="40" t="n">
        <f aca="false">ROUND(C14*0.04,0)</f>
        <v>11</v>
      </c>
      <c r="I14" s="40" t="n">
        <f aca="false">ROUND(C14*0.02,0)</f>
        <v>5</v>
      </c>
      <c r="J14" s="10" t="n">
        <f aca="false">D14*199+E14*249+F14*199+G14*329+H14*399+I14*299</f>
        <v>63341</v>
      </c>
      <c r="K14" s="41" t="n">
        <f aca="false">D14*199*0.43+E14*249*0.41+F14*199*0.12+G14*329*0.03</f>
        <v>19893.04</v>
      </c>
      <c r="L14" s="10" t="n">
        <f aca="false">J14-K14-C14*12</f>
        <v>40207.96</v>
      </c>
      <c r="M14" s="8" t="n">
        <f aca="false">IFERROR(L14/J14,0)</f>
        <v>0.634785683838272</v>
      </c>
      <c r="N14" s="10" t="n">
        <f aca="false">N13+L14</f>
        <v>1046932.94</v>
      </c>
      <c r="O14" s="42" t="n">
        <f aca="false">N14-365712-875000</f>
        <v>-193779.06</v>
      </c>
    </row>
    <row r="15" customFormat="false" ht="15" hidden="false" customHeight="true" outlineLevel="0" collapsed="false">
      <c r="A15" s="6" t="s">
        <v>117</v>
      </c>
      <c r="B15" s="39" t="s">
        <v>118</v>
      </c>
      <c r="C15" s="9" t="n">
        <v>230</v>
      </c>
      <c r="D15" s="40" t="n">
        <f aca="false">ROUND(C15*0.58,0)</f>
        <v>133</v>
      </c>
      <c r="E15" s="40" t="n">
        <f aca="false">ROUND(C15*0.22,0)</f>
        <v>51</v>
      </c>
      <c r="F15" s="40" t="n">
        <f aca="false">ROUND(C15*0.02,0)</f>
        <v>5</v>
      </c>
      <c r="G15" s="40" t="n">
        <f aca="false">ROUND(C15*0.12,0)</f>
        <v>28</v>
      </c>
      <c r="H15" s="40" t="n">
        <f aca="false">ROUND(C15*0.04,0)</f>
        <v>9</v>
      </c>
      <c r="I15" s="40" t="n">
        <f aca="false">ROUND(C15*0.02,0)</f>
        <v>5</v>
      </c>
      <c r="J15" s="10" t="n">
        <f aca="false">D15*199+E15*249+F15*199+G15*329+H15*399+I15*299</f>
        <v>54459</v>
      </c>
      <c r="K15" s="41" t="n">
        <f aca="false">D15*199*0.43+E15*249*0.41+F15*199*0.12+G15*329*0.03</f>
        <v>16983.16</v>
      </c>
      <c r="L15" s="10" t="n">
        <f aca="false">J15-K15-C15*12</f>
        <v>34715.84</v>
      </c>
      <c r="M15" s="8" t="n">
        <f aca="false">IFERROR(L15/J15,0)</f>
        <v>0.637467452579004</v>
      </c>
      <c r="N15" s="10" t="n">
        <f aca="false">N14+L15</f>
        <v>1081648.78</v>
      </c>
      <c r="O15" s="42" t="n">
        <f aca="false">N15-365712-875000</f>
        <v>-159063.22</v>
      </c>
    </row>
    <row r="16" customFormat="false" ht="15" hidden="false" customHeight="true" outlineLevel="0" collapsed="false">
      <c r="A16" s="6" t="s">
        <v>119</v>
      </c>
      <c r="B16" s="39" t="s">
        <v>120</v>
      </c>
      <c r="C16" s="9" t="n">
        <v>200</v>
      </c>
      <c r="D16" s="40" t="n">
        <f aca="false">ROUND(C16*0.58,0)</f>
        <v>116</v>
      </c>
      <c r="E16" s="40" t="n">
        <f aca="false">ROUND(C16*0.22,0)</f>
        <v>44</v>
      </c>
      <c r="F16" s="40" t="n">
        <f aca="false">ROUND(C16*0.02,0)</f>
        <v>4</v>
      </c>
      <c r="G16" s="40" t="n">
        <f aca="false">ROUND(C16*0.12,0)</f>
        <v>24</v>
      </c>
      <c r="H16" s="40" t="n">
        <f aca="false">ROUND(C16*0.04,0)</f>
        <v>8</v>
      </c>
      <c r="I16" s="40" t="n">
        <f aca="false">ROUND(C16*0.02,0)</f>
        <v>4</v>
      </c>
      <c r="J16" s="10" t="n">
        <f aca="false">D16*199+E16*249+F16*199+G16*329+H16*399+I16*299</f>
        <v>47120</v>
      </c>
      <c r="K16" s="41" t="n">
        <f aca="false">D16*199*0.43+E16*249*0.41+F16*199*0.12+G16*329*0.03</f>
        <v>14750.48</v>
      </c>
      <c r="L16" s="10" t="n">
        <f aca="false">J16-K16-C16*12</f>
        <v>29969.52</v>
      </c>
      <c r="M16" s="8" t="n">
        <f aca="false">IFERROR(L16/J16,0)</f>
        <v>0.636025466893039</v>
      </c>
      <c r="N16" s="10" t="n">
        <f aca="false">N15+L16</f>
        <v>1111618.3</v>
      </c>
      <c r="O16" s="42" t="n">
        <f aca="false">N16-365712-875000</f>
        <v>-129093.7</v>
      </c>
    </row>
    <row r="17" customFormat="false" ht="15" hidden="false" customHeight="true" outlineLevel="0" collapsed="false">
      <c r="A17" s="6" t="s">
        <v>121</v>
      </c>
      <c r="B17" s="39" t="s">
        <v>122</v>
      </c>
      <c r="C17" s="9" t="n">
        <v>175</v>
      </c>
      <c r="D17" s="40" t="n">
        <f aca="false">ROUND(C17*0.58,0)</f>
        <v>102</v>
      </c>
      <c r="E17" s="40" t="n">
        <f aca="false">ROUND(C17*0.22,0)</f>
        <v>39</v>
      </c>
      <c r="F17" s="40" t="n">
        <f aca="false">ROUND(C17*0.02,0)</f>
        <v>4</v>
      </c>
      <c r="G17" s="40" t="n">
        <f aca="false">ROUND(C17*0.12,0)</f>
        <v>21</v>
      </c>
      <c r="H17" s="40" t="n">
        <f aca="false">ROUND(C17*0.04,0)</f>
        <v>7</v>
      </c>
      <c r="I17" s="40" t="n">
        <f aca="false">ROUND(C17*0.02,0)</f>
        <v>4</v>
      </c>
      <c r="J17" s="10" t="n">
        <f aca="false">D17*199+E17*249+F17*199+G17*329+H17*399+I17*299</f>
        <v>41703</v>
      </c>
      <c r="K17" s="41" t="n">
        <f aca="false">D17*199*0.43+E17*249*0.41+F17*199*0.12+G17*329*0.03</f>
        <v>13012.44</v>
      </c>
      <c r="L17" s="10" t="n">
        <f aca="false">J17-K17-C17*12</f>
        <v>26590.56</v>
      </c>
      <c r="M17" s="8" t="n">
        <f aca="false">IFERROR(L17/J17,0)</f>
        <v>0.637617437594418</v>
      </c>
      <c r="N17" s="10" t="n">
        <f aca="false">N16+L17</f>
        <v>1138208.86</v>
      </c>
      <c r="O17" s="42" t="n">
        <f aca="false">N17-365712-875000</f>
        <v>-102503.14</v>
      </c>
    </row>
    <row r="18" customFormat="false" ht="15" hidden="false" customHeight="true" outlineLevel="0" collapsed="false">
      <c r="A18" s="6" t="s">
        <v>123</v>
      </c>
      <c r="B18" s="39" t="s">
        <v>124</v>
      </c>
      <c r="C18" s="9" t="n">
        <v>175</v>
      </c>
      <c r="D18" s="40" t="n">
        <f aca="false">ROUND(C18*0.58,0)</f>
        <v>102</v>
      </c>
      <c r="E18" s="40" t="n">
        <f aca="false">ROUND(C18*0.22,0)</f>
        <v>39</v>
      </c>
      <c r="F18" s="40" t="n">
        <f aca="false">ROUND(C18*0.02,0)</f>
        <v>4</v>
      </c>
      <c r="G18" s="40" t="n">
        <f aca="false">ROUND(C18*0.12,0)</f>
        <v>21</v>
      </c>
      <c r="H18" s="40" t="n">
        <f aca="false">ROUND(C18*0.04,0)</f>
        <v>7</v>
      </c>
      <c r="I18" s="40" t="n">
        <f aca="false">ROUND(C18*0.02,0)</f>
        <v>4</v>
      </c>
      <c r="J18" s="10" t="n">
        <f aca="false">D18*199+E18*249+F18*199+G18*329+H18*399+I18*299</f>
        <v>41703</v>
      </c>
      <c r="K18" s="41" t="n">
        <f aca="false">D18*199*0.43+E18*249*0.41+F18*199*0.12+G18*329*0.03</f>
        <v>13012.44</v>
      </c>
      <c r="L18" s="10" t="n">
        <f aca="false">J18-K18-C18*12</f>
        <v>26590.56</v>
      </c>
      <c r="M18" s="8" t="n">
        <f aca="false">IFERROR(L18/J18,0)</f>
        <v>0.637617437594418</v>
      </c>
      <c r="N18" s="10" t="n">
        <f aca="false">N17+L18</f>
        <v>1164799.42</v>
      </c>
      <c r="O18" s="42" t="n">
        <f aca="false">N18-365712-875000</f>
        <v>-75912.5799999998</v>
      </c>
    </row>
    <row r="19" customFormat="false" ht="15" hidden="false" customHeight="true" outlineLevel="0" collapsed="false">
      <c r="A19" s="6" t="s">
        <v>125</v>
      </c>
      <c r="B19" s="39" t="s">
        <v>126</v>
      </c>
      <c r="C19" s="9" t="n">
        <v>150</v>
      </c>
      <c r="D19" s="40" t="n">
        <f aca="false">ROUND(C19*0.58,0)</f>
        <v>87</v>
      </c>
      <c r="E19" s="40" t="n">
        <f aca="false">ROUND(C19*0.22,0)</f>
        <v>33</v>
      </c>
      <c r="F19" s="40" t="n">
        <f aca="false">ROUND(C19*0.02,0)</f>
        <v>3</v>
      </c>
      <c r="G19" s="40" t="n">
        <f aca="false">ROUND(C19*0.12,0)</f>
        <v>18</v>
      </c>
      <c r="H19" s="40" t="n">
        <f aca="false">ROUND(C19*0.04,0)</f>
        <v>6</v>
      </c>
      <c r="I19" s="40" t="n">
        <f aca="false">ROUND(C19*0.02,0)</f>
        <v>3</v>
      </c>
      <c r="J19" s="10" t="n">
        <f aca="false">D19*199+E19*249+F19*199+G19*329+H19*399+I19*299</f>
        <v>35340</v>
      </c>
      <c r="K19" s="41" t="n">
        <f aca="false">D19*199*0.43+E19*249*0.41+F19*199*0.12+G19*329*0.03</f>
        <v>11062.86</v>
      </c>
      <c r="L19" s="10" t="n">
        <f aca="false">J19-K19-C19*12</f>
        <v>22477.14</v>
      </c>
      <c r="M19" s="8" t="n">
        <f aca="false">IFERROR(L19/J19,0)</f>
        <v>0.636025466893039</v>
      </c>
      <c r="N19" s="10" t="n">
        <f aca="false">N18+L19</f>
        <v>1187276.56</v>
      </c>
      <c r="O19" s="42" t="n">
        <f aca="false">N19-365712-875000</f>
        <v>-53435.4399999999</v>
      </c>
    </row>
    <row r="20" customFormat="false" ht="15" hidden="false" customHeight="true" outlineLevel="0" collapsed="false">
      <c r="A20" s="6" t="s">
        <v>127</v>
      </c>
      <c r="B20" s="39" t="s">
        <v>128</v>
      </c>
      <c r="C20" s="9" t="n">
        <v>150</v>
      </c>
      <c r="D20" s="40" t="n">
        <f aca="false">ROUND(C20*0.58,0)</f>
        <v>87</v>
      </c>
      <c r="E20" s="40" t="n">
        <f aca="false">ROUND(C20*0.22,0)</f>
        <v>33</v>
      </c>
      <c r="F20" s="40" t="n">
        <f aca="false">ROUND(C20*0.02,0)</f>
        <v>3</v>
      </c>
      <c r="G20" s="40" t="n">
        <f aca="false">ROUND(C20*0.12,0)</f>
        <v>18</v>
      </c>
      <c r="H20" s="40" t="n">
        <f aca="false">ROUND(C20*0.04,0)</f>
        <v>6</v>
      </c>
      <c r="I20" s="40" t="n">
        <f aca="false">ROUND(C20*0.02,0)</f>
        <v>3</v>
      </c>
      <c r="J20" s="10" t="n">
        <f aca="false">D20*199+E20*249+F20*199+G20*329+H20*399+I20*299</f>
        <v>35340</v>
      </c>
      <c r="K20" s="41" t="n">
        <f aca="false">D20*199*0.43+E20*249*0.41+F20*199*0.12+G20*329*0.03</f>
        <v>11062.86</v>
      </c>
      <c r="L20" s="10" t="n">
        <f aca="false">J20-K20-C20*12</f>
        <v>22477.14</v>
      </c>
      <c r="M20" s="8" t="n">
        <f aca="false">IFERROR(L20/J20,0)</f>
        <v>0.636025466893039</v>
      </c>
      <c r="N20" s="10" t="n">
        <f aca="false">N19+L20</f>
        <v>1209753.7</v>
      </c>
      <c r="O20" s="42" t="n">
        <f aca="false">N20-365712-875000</f>
        <v>-30958.3</v>
      </c>
    </row>
    <row r="21" customFormat="false" ht="15" hidden="false" customHeight="true" outlineLevel="0" collapsed="false">
      <c r="A21" s="6" t="s">
        <v>129</v>
      </c>
      <c r="B21" s="39" t="s">
        <v>130</v>
      </c>
      <c r="C21" s="9" t="n">
        <v>125</v>
      </c>
      <c r="D21" s="40" t="n">
        <f aca="false">ROUND(C21*0.58,0)</f>
        <v>73</v>
      </c>
      <c r="E21" s="40" t="n">
        <f aca="false">ROUND(C21*0.22,0)</f>
        <v>28</v>
      </c>
      <c r="F21" s="40" t="n">
        <f aca="false">ROUND(C21*0.02,0)</f>
        <v>3</v>
      </c>
      <c r="G21" s="40" t="n">
        <f aca="false">ROUND(C21*0.12,0)</f>
        <v>15</v>
      </c>
      <c r="H21" s="40" t="n">
        <f aca="false">ROUND(C21*0.04,0)</f>
        <v>5</v>
      </c>
      <c r="I21" s="40" t="n">
        <f aca="false">ROUND(C21*0.02,0)</f>
        <v>3</v>
      </c>
      <c r="J21" s="10" t="n">
        <f aca="false">D21*199+E21*249+F21*199+G21*329+H21*399+I21*299</f>
        <v>29923</v>
      </c>
      <c r="K21" s="41" t="n">
        <f aca="false">D21*199*0.43+E21*249*0.41+F21*199*0.12+G21*329*0.03</f>
        <v>9324.82</v>
      </c>
      <c r="L21" s="10" t="n">
        <f aca="false">J21-K21-C21*12</f>
        <v>19098.18</v>
      </c>
      <c r="M21" s="8" t="n">
        <f aca="false">IFERROR(L21/J21,0)</f>
        <v>0.638244160010694</v>
      </c>
      <c r="N21" s="10" t="n">
        <f aca="false">N20+L21</f>
        <v>1228851.88</v>
      </c>
      <c r="O21" s="42" t="n">
        <f aca="false">N21-365712-875000</f>
        <v>-11860.1200000001</v>
      </c>
    </row>
    <row r="22" customFormat="false" ht="15" hidden="false" customHeight="true" outlineLevel="0" collapsed="false">
      <c r="A22" s="6" t="s">
        <v>131</v>
      </c>
      <c r="B22" s="39" t="s">
        <v>132</v>
      </c>
      <c r="C22" s="9" t="n">
        <v>100</v>
      </c>
      <c r="D22" s="40" t="n">
        <f aca="false">ROUND(C22*0.58,0)</f>
        <v>58</v>
      </c>
      <c r="E22" s="40" t="n">
        <f aca="false">ROUND(C22*0.22,0)</f>
        <v>22</v>
      </c>
      <c r="F22" s="40" t="n">
        <f aca="false">ROUND(C22*0.02,0)</f>
        <v>2</v>
      </c>
      <c r="G22" s="40" t="n">
        <f aca="false">ROUND(C22*0.12,0)</f>
        <v>12</v>
      </c>
      <c r="H22" s="40" t="n">
        <f aca="false">ROUND(C22*0.04,0)</f>
        <v>4</v>
      </c>
      <c r="I22" s="40" t="n">
        <f aca="false">ROUND(C22*0.02,0)</f>
        <v>2</v>
      </c>
      <c r="J22" s="10" t="n">
        <f aca="false">D22*199+E22*249+F22*199+G22*329+H22*399+I22*299</f>
        <v>23560</v>
      </c>
      <c r="K22" s="41" t="n">
        <f aca="false">D22*199*0.43+E22*249*0.41+F22*199*0.12+G22*329*0.03</f>
        <v>7375.24</v>
      </c>
      <c r="L22" s="10" t="n">
        <f aca="false">J22-K22-C22*12</f>
        <v>14984.76</v>
      </c>
      <c r="M22" s="8" t="n">
        <f aca="false">IFERROR(L22/J22,0)</f>
        <v>0.636025466893039</v>
      </c>
      <c r="N22" s="10" t="n">
        <f aca="false">N21+L22</f>
        <v>1243836.64</v>
      </c>
      <c r="O22" s="42" t="n">
        <f aca="false">N22-365712-875000</f>
        <v>3124.6399999999</v>
      </c>
    </row>
    <row r="23" customFormat="false" ht="15" hidden="false" customHeight="true" outlineLevel="0" collapsed="false">
      <c r="A23" s="6" t="s">
        <v>133</v>
      </c>
      <c r="B23" s="39" t="s">
        <v>134</v>
      </c>
      <c r="C23" s="9" t="n">
        <v>100</v>
      </c>
      <c r="D23" s="40" t="n">
        <f aca="false">ROUND(C23*0.58,0)</f>
        <v>58</v>
      </c>
      <c r="E23" s="40" t="n">
        <f aca="false">ROUND(C23*0.22,0)</f>
        <v>22</v>
      </c>
      <c r="F23" s="40" t="n">
        <f aca="false">ROUND(C23*0.02,0)</f>
        <v>2</v>
      </c>
      <c r="G23" s="40" t="n">
        <f aca="false">ROUND(C23*0.12,0)</f>
        <v>12</v>
      </c>
      <c r="H23" s="40" t="n">
        <f aca="false">ROUND(C23*0.04,0)</f>
        <v>4</v>
      </c>
      <c r="I23" s="40" t="n">
        <f aca="false">ROUND(C23*0.02,0)</f>
        <v>2</v>
      </c>
      <c r="J23" s="10" t="n">
        <f aca="false">D23*199+E23*249+F23*199+G23*329+H23*399+I23*299</f>
        <v>23560</v>
      </c>
      <c r="K23" s="41" t="n">
        <f aca="false">D23*199*0.43+E23*249*0.41+F23*199*0.12+G23*329*0.03</f>
        <v>7375.24</v>
      </c>
      <c r="L23" s="10" t="n">
        <f aca="false">J23-K23-C23*12</f>
        <v>14984.76</v>
      </c>
      <c r="M23" s="8" t="n">
        <f aca="false">IFERROR(L23/J23,0)</f>
        <v>0.636025466893039</v>
      </c>
      <c r="N23" s="10" t="n">
        <f aca="false">N22+L23</f>
        <v>1258821.4</v>
      </c>
      <c r="O23" s="42" t="n">
        <f aca="false">N23-365712-875000</f>
        <v>18109.3999999999</v>
      </c>
    </row>
    <row r="24" customFormat="false" ht="15" hidden="false" customHeight="true" outlineLevel="0" collapsed="false">
      <c r="A24" s="6" t="s">
        <v>135</v>
      </c>
      <c r="B24" s="39" t="s">
        <v>136</v>
      </c>
      <c r="C24" s="9" t="n">
        <v>75</v>
      </c>
      <c r="D24" s="40" t="n">
        <f aca="false">ROUND(C24*0.58,0)</f>
        <v>44</v>
      </c>
      <c r="E24" s="40" t="n">
        <f aca="false">ROUND(C24*0.22,0)</f>
        <v>17</v>
      </c>
      <c r="F24" s="40" t="n">
        <f aca="false">ROUND(C24*0.02,0)</f>
        <v>2</v>
      </c>
      <c r="G24" s="40" t="n">
        <f aca="false">ROUND(C24*0.12,0)</f>
        <v>9</v>
      </c>
      <c r="H24" s="40" t="n">
        <f aca="false">ROUND(C24*0.04,0)</f>
        <v>3</v>
      </c>
      <c r="I24" s="40" t="n">
        <f aca="false">ROUND(C24*0.02,0)</f>
        <v>2</v>
      </c>
      <c r="J24" s="10" t="n">
        <f aca="false">D24*199+E24*249+F24*199+G24*329+H24*399+I24*299</f>
        <v>18143</v>
      </c>
      <c r="K24" s="41" t="n">
        <f aca="false">D24*199*0.43+E24*249*0.41+F24*199*0.12+G24*329*0.03</f>
        <v>5637.2</v>
      </c>
      <c r="L24" s="10" t="n">
        <f aca="false">J24-K24-C24*12</f>
        <v>11605.8</v>
      </c>
      <c r="M24" s="8" t="n">
        <f aca="false">IFERROR(L24/J24,0)</f>
        <v>0.639684726891914</v>
      </c>
      <c r="N24" s="10" t="n">
        <f aca="false">N23+L24</f>
        <v>1270427.2</v>
      </c>
      <c r="O24" s="42" t="n">
        <f aca="false">N24-365712-875000</f>
        <v>29715.2</v>
      </c>
    </row>
    <row r="25" customFormat="false" ht="15" hidden="false" customHeight="true" outlineLevel="0" collapsed="false">
      <c r="A25" s="6" t="s">
        <v>137</v>
      </c>
      <c r="B25" s="39" t="s">
        <v>138</v>
      </c>
      <c r="C25" s="9" t="n">
        <v>75</v>
      </c>
      <c r="D25" s="40" t="n">
        <f aca="false">ROUND(C25*0.58,0)</f>
        <v>44</v>
      </c>
      <c r="E25" s="40" t="n">
        <f aca="false">ROUND(C25*0.22,0)</f>
        <v>17</v>
      </c>
      <c r="F25" s="40" t="n">
        <f aca="false">ROUND(C25*0.02,0)</f>
        <v>2</v>
      </c>
      <c r="G25" s="40" t="n">
        <f aca="false">ROUND(C25*0.12,0)</f>
        <v>9</v>
      </c>
      <c r="H25" s="40" t="n">
        <f aca="false">ROUND(C25*0.04,0)</f>
        <v>3</v>
      </c>
      <c r="I25" s="40" t="n">
        <f aca="false">ROUND(C25*0.02,0)</f>
        <v>2</v>
      </c>
      <c r="J25" s="10" t="n">
        <f aca="false">D25*199+E25*249+F25*199+G25*329+H25*399+I25*299</f>
        <v>18143</v>
      </c>
      <c r="K25" s="41" t="n">
        <f aca="false">D25*199*0.43+E25*249*0.41+F25*199*0.12+G25*329*0.03</f>
        <v>5637.2</v>
      </c>
      <c r="L25" s="10" t="n">
        <f aca="false">J25-K25-C25*12</f>
        <v>11605.8</v>
      </c>
      <c r="M25" s="8" t="n">
        <f aca="false">IFERROR(L25/J25,0)</f>
        <v>0.639684726891914</v>
      </c>
      <c r="N25" s="10" t="n">
        <f aca="false">N24+L25</f>
        <v>1282033</v>
      </c>
      <c r="O25" s="42" t="n">
        <f aca="false">N25-365712-875000</f>
        <v>41321</v>
      </c>
    </row>
    <row r="26" customFormat="false" ht="15" hidden="false" customHeight="true" outlineLevel="0" collapsed="false">
      <c r="A26" s="6" t="s">
        <v>139</v>
      </c>
      <c r="B26" s="39" t="s">
        <v>140</v>
      </c>
      <c r="C26" s="9" t="n">
        <v>50</v>
      </c>
      <c r="D26" s="40" t="n">
        <f aca="false">ROUND(C26*0.58,0)</f>
        <v>29</v>
      </c>
      <c r="E26" s="40" t="n">
        <f aca="false">ROUND(C26*0.22,0)</f>
        <v>11</v>
      </c>
      <c r="F26" s="40" t="n">
        <f aca="false">ROUND(C26*0.02,0)</f>
        <v>1</v>
      </c>
      <c r="G26" s="40" t="n">
        <f aca="false">ROUND(C26*0.12,0)</f>
        <v>6</v>
      </c>
      <c r="H26" s="40" t="n">
        <f aca="false">ROUND(C26*0.04,0)</f>
        <v>2</v>
      </c>
      <c r="I26" s="40" t="n">
        <f aca="false">ROUND(C26*0.02,0)</f>
        <v>1</v>
      </c>
      <c r="J26" s="10" t="n">
        <f aca="false">D26*199+E26*249+F26*199+G26*329+H26*399+I26*299</f>
        <v>11780</v>
      </c>
      <c r="K26" s="41" t="n">
        <f aca="false">D26*199*0.43+E26*249*0.41+F26*199*0.12+G26*329*0.03</f>
        <v>3687.62</v>
      </c>
      <c r="L26" s="10" t="n">
        <f aca="false">J26-K26-C26*12</f>
        <v>7492.38</v>
      </c>
      <c r="M26" s="8" t="n">
        <f aca="false">IFERROR(L26/J26,0)</f>
        <v>0.636025466893039</v>
      </c>
      <c r="N26" s="10" t="n">
        <f aca="false">N25+L26</f>
        <v>1289525.38</v>
      </c>
      <c r="O26" s="42" t="n">
        <f aca="false">N26-365712-875000</f>
        <v>48813.3799999999</v>
      </c>
    </row>
    <row r="27" customFormat="false" ht="15" hidden="false" customHeight="true" outlineLevel="0" collapsed="false">
      <c r="A27" s="6" t="s">
        <v>141</v>
      </c>
      <c r="B27" s="39" t="s">
        <v>142</v>
      </c>
      <c r="C27" s="9" t="n">
        <v>50</v>
      </c>
      <c r="D27" s="40" t="n">
        <f aca="false">ROUND(C27*0.58,0)</f>
        <v>29</v>
      </c>
      <c r="E27" s="40" t="n">
        <f aca="false">ROUND(C27*0.22,0)</f>
        <v>11</v>
      </c>
      <c r="F27" s="40" t="n">
        <f aca="false">ROUND(C27*0.02,0)</f>
        <v>1</v>
      </c>
      <c r="G27" s="40" t="n">
        <f aca="false">ROUND(C27*0.12,0)</f>
        <v>6</v>
      </c>
      <c r="H27" s="40" t="n">
        <f aca="false">ROUND(C27*0.04,0)</f>
        <v>2</v>
      </c>
      <c r="I27" s="40" t="n">
        <f aca="false">ROUND(C27*0.02,0)</f>
        <v>1</v>
      </c>
      <c r="J27" s="10" t="n">
        <f aca="false">D27*199+E27*249+F27*199+G27*329+H27*399+I27*299</f>
        <v>11780</v>
      </c>
      <c r="K27" s="41" t="n">
        <f aca="false">D27*199*0.43+E27*249*0.41+F27*199*0.12+G27*329*0.03</f>
        <v>3687.62</v>
      </c>
      <c r="L27" s="10" t="n">
        <f aca="false">J27-K27-C27*12</f>
        <v>7492.38</v>
      </c>
      <c r="M27" s="8" t="n">
        <f aca="false">IFERROR(L27/J27,0)</f>
        <v>0.636025466893039</v>
      </c>
      <c r="N27" s="10" t="n">
        <f aca="false">N26+L27</f>
        <v>1297017.76</v>
      </c>
      <c r="O27" s="42" t="n">
        <f aca="false">N27-365712-875000</f>
        <v>56305.7599999998</v>
      </c>
    </row>
    <row r="28" customFormat="false" ht="19.5" hidden="false" customHeight="true" outlineLevel="0" collapsed="false">
      <c r="A28" s="45" t="s">
        <v>143</v>
      </c>
      <c r="B28" s="45" t="s">
        <v>144</v>
      </c>
      <c r="C28" s="46" t="n">
        <f aca="false">SUM(C4:C27)</f>
        <v>8645</v>
      </c>
      <c r="D28" s="46" t="n">
        <f aca="false">SUM(D4:D27)</f>
        <v>5017</v>
      </c>
      <c r="E28" s="46" t="n">
        <f aca="false">SUM(E4:E27)</f>
        <v>1904</v>
      </c>
      <c r="F28" s="46" t="n">
        <f aca="false">SUM(F4:F27)</f>
        <v>175</v>
      </c>
      <c r="G28" s="46" t="n">
        <f aca="false">SUM(G4:G27)</f>
        <v>1037</v>
      </c>
      <c r="H28" s="46" t="n">
        <f aca="false">SUM(H4:H27)</f>
        <v>346</v>
      </c>
      <c r="I28" s="46" t="n">
        <f aca="false">SUM(I4:I27)</f>
        <v>175</v>
      </c>
      <c r="J28" s="46" t="n">
        <f aca="false">SUM(J4:J27)</f>
        <v>2038856</v>
      </c>
      <c r="K28" s="46" t="n">
        <f aca="false">SUM(K4:K27)</f>
        <v>638098.24</v>
      </c>
      <c r="L28" s="46" t="n">
        <f aca="false">SUM(L4:L27)</f>
        <v>1297017.76</v>
      </c>
      <c r="M28" s="47" t="n">
        <f aca="false">IFERROR(L28/J28,0)</f>
        <v>0.636149762415786</v>
      </c>
      <c r="N28" s="46" t="n">
        <f aca="false">N27</f>
        <v>1297017.76</v>
      </c>
      <c r="O28" s="48" t="n">
        <f aca="false">N28-365712-875000</f>
        <v>56305.7599999998</v>
      </c>
    </row>
    <row r="30" customFormat="false" ht="15" hidden="false" customHeight="true" outlineLevel="0" collapsed="false">
      <c r="A30" s="49" t="s">
        <v>145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</sheetData>
  <mergeCells count="3">
    <mergeCell ref="A1:O1"/>
    <mergeCell ref="A2:O2"/>
    <mergeCell ref="A30:O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2026-05-20T08:44:01Z</dcterms:created>
  <dc:creator>openpyxl</dc:creator>
  <dc:description/>
  <dc:language>en-US</dc:language>
  <cp:lastModifiedBy/>
  <dcterms:modified xsi:type="dcterms:W3CDTF">2026-05-20T08:51:34Z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