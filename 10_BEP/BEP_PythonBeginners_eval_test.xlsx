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🎯 BEP Summary" sheetId="1" state="visible" r:id="rId3"/>
    <sheet name="📅 Monthly Foreca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<sst xmlns="http://schemas.openxmlformats.org/spreadsheetml/2006/main" count="120" uniqueCount="115">
  <si>
    <t xml:space="preserve">BEP — Python for Beginners ฉบับไทย</t>
  </si>
  <si>
    <t xml:space="preserve">v1 | Nov 2026 | Gap Rule: FB ฿299 &lt; TikTok ฿349 &lt; Shopee ฿399 &lt; C1 ฿449 | GM ฿700K ถึง มี.ค. 2027 (เดือน 5) | PEAK ขั้นต่ำ = 3,256</t>
  </si>
  <si>
    <t xml:space="preserve">📌  ข้อมูลหนังสือ</t>
  </si>
  <si>
    <t xml:space="preserve">ชื่อหนังสือ</t>
  </si>
  <si>
    <t xml:space="preserve">Python for Beginners ฉบับไทย</t>
  </si>
  <si>
    <t xml:space="preserve">Launch Date</t>
  </si>
  <si>
    <t xml:space="preserve">1 Nov 2026</t>
  </si>
  <si>
    <t xml:space="preserve">Month 1 = เต็มเดือน (factor=1.0)</t>
  </si>
  <si>
    <t xml:space="preserve">Prorated Factor</t>
  </si>
  <si>
    <t xml:space="preserve">เต็มเดือน launch วันที่ 1</t>
  </si>
  <si>
    <t xml:space="preserve">Lot 1</t>
  </si>
  <si>
    <t xml:space="preserve">เล่ม</t>
  </si>
  <si>
    <t xml:space="preserve">Lot 2</t>
  </si>
  <si>
    <t xml:space="preserve">รวม Lot</t>
  </si>
  <si>
    <t xml:space="preserve">💰  โครงสร้างต้นทุน</t>
  </si>
  <si>
    <t xml:space="preserve">COG Variable</t>
  </si>
  <si>
    <t xml:space="preserve">฿/เล่ม</t>
  </si>
  <si>
    <t xml:space="preserve">Fixed Production Cost</t>
  </si>
  <si>
    <t xml:space="preserve">ต้นทุนทำเล่ม</t>
  </si>
  <si>
    <t xml:space="preserve">First MKT Budget</t>
  </si>
  <si>
    <t xml:space="preserve">ค่าการตลาด 60 วันแรก</t>
  </si>
  <si>
    <t xml:space="preserve">รวมต้นทุนตั้งต้น</t>
  </si>
  <si>
    <t xml:space="preserve">Fixed+MKT</t>
  </si>
  <si>
    <t xml:space="preserve">🎯  เป้าหมาย</t>
  </si>
  <si>
    <t xml:space="preserve">Sale Target Year 1</t>
  </si>
  <si>
    <t xml:space="preserve">GM Target Year 1</t>
  </si>
  <si>
    <t xml:space="preserve">ถึงภายใน มี.ค. 2027</t>
  </si>
  <si>
    <t xml:space="preserve">📊  ช่องทาง — ราคา / Margin Per Unit (List Price)  |  Discount = Reference</t>
  </si>
  <si>
    <t xml:space="preserve">Channel</t>
  </si>
  <si>
    <t xml:space="preserve">ราคา (฿)
List</t>
  </si>
  <si>
    <t xml:space="preserve">ส่วนลด %</t>
  </si>
  <si>
    <t xml:space="preserve">ราคาหลัง Discount
(฿) ← Ref</t>
  </si>
  <si>
    <t xml:space="preserve">ค่าส่ง (฿)</t>
  </si>
  <si>
    <t xml:space="preserve">ราคา+ค่าส่ง
(ลูกค้าจ่าย)</t>
  </si>
  <si>
    <t xml:space="preserve">Margin/Unit
(฿) List</t>
  </si>
  <si>
    <t xml:space="preserve">Margin %
List</t>
  </si>
  <si>
    <t xml:space="preserve">%Ads</t>
  </si>
  <si>
    <t xml:space="preserve">Mix %</t>
  </si>
  <si>
    <t xml:space="preserve">หมายเหตุ</t>
  </si>
  <si>
    <t xml:space="preserve">Facebook</t>
  </si>
  <si>
    <t xml:space="preserve">Online 2 | Margin ฿100.46 (33.6%)</t>
  </si>
  <si>
    <t xml:space="preserve">TikTok</t>
  </si>
  <si>
    <t xml:space="preserve">Online 1 | Margin ฿52.97 (15.2%)</t>
  </si>
  <si>
    <t xml:space="preserve">TikTok Live</t>
  </si>
  <si>
    <t xml:space="preserve">Online 4 | Margin ฿124.83 (44.7%)</t>
  </si>
  <si>
    <t xml:space="preserve">Shopee</t>
  </si>
  <si>
    <t xml:space="preserve">Online 3 | Margin ฿197.79 (49.6%)</t>
  </si>
  <si>
    <t xml:space="preserve">C1 (Consignment)</t>
  </si>
  <si>
    <t xml:space="preserve">C1 | ไม่มีในโปรเจกต์นี้</t>
  </si>
  <si>
    <t xml:space="preserve">✅ Gap Rule (List): FB ฿299 &lt; TikTok ฿349 &lt; Shopee ฿399 &lt; C1 ฿449 | Net disc 15%: Shopee ฿339 &lt; C1 ฿382 ✅ | Margin จาก List Price เท่านั้น | ไม่มี C2 ในโปรเจกต์นี้</t>
  </si>
  <si>
    <t xml:space="preserve">📅 Monthly Forecast — Python for Beginners ฉบับไทย (v1)</t>
  </si>
  <si>
    <t xml:space="preserve">⚙️ แก้ PEAK (C5) — ทุกเดือนปรับสัดส่วนอัตโนมัติ | PEAK=3,256 → GM ฿700K ถึง มี.ค. 2027 | Launch 1 Nov = เต็มเดือน</t>
  </si>
  <si>
    <t xml:space="preserve">Margin/Unit: FB ฿68.37 (22.9%) | TikTok ฿20.33 (5.8%) | TKLive ฿83.35 (29.9%) | Shopee ฿154.62 (38.8%) | C1 ฿225.36 (50.2%) | Blended ฿67.02</t>
  </si>
  <si>
    <t xml:space="preserve">Month</t>
  </si>
  <si>
    <t xml:space="preserve">Phase</t>
  </si>
  <si>
    <t xml:space="preserve">Total Units</t>
  </si>
  <si>
    <t xml:space="preserve">FB
(฿299)</t>
  </si>
  <si>
    <t xml:space="preserve">TikTok
(฿349)</t>
  </si>
  <si>
    <t xml:space="preserve">TK Live
(฿279)</t>
  </si>
  <si>
    <t xml:space="preserve">Shopee
(฿399)</t>
  </si>
  <si>
    <t xml:space="preserve">C1
(฿449)</t>
  </si>
  <si>
    <t xml:space="preserve">C2
(N/A)</t>
  </si>
  <si>
    <t xml:space="preserve">Revenue (฿)
List</t>
  </si>
  <si>
    <t xml:space="preserve">Ads Cost (฿)</t>
  </si>
  <si>
    <t xml:space="preserve">Gross Margin (฿)
(List)</t>
  </si>
  <si>
    <t xml:space="preserve">GM %</t>
  </si>
  <si>
    <t xml:space="preserve">Cumul GM (฿)</t>
  </si>
  <si>
    <t xml:space="preserve">vs GM Target
(฿700K)</t>
  </si>
  <si>
    <t xml:space="preserve">⚙️ PEAK Units / เดือน (แก้ตัวนี้ตัวเดียว)</t>
  </si>
  <si>
    <t xml:space="preserve">📌 PEAK ขั้นต่ำ = 3,256 → GM ฿700K ถึง มี.ค. 2027 (M5) | Launch 1 Nov = factor 1.0 เดือนแรก</t>
  </si>
  <si>
    <t xml:space="preserve">Nov 2026</t>
  </si>
  <si>
    <t xml:space="preserve">PEAK 🎯</t>
  </si>
  <si>
    <t xml:space="preserve">Dec 2026</t>
  </si>
  <si>
    <t xml:space="preserve">Jan 2027</t>
  </si>
  <si>
    <t xml:space="preserve">Feb 2027</t>
  </si>
  <si>
    <t xml:space="preserve">Mar 2027</t>
  </si>
  <si>
    <t xml:space="preserve">PEAK ✅GM Mar27</t>
  </si>
  <si>
    <t xml:space="preserve">Apr 2027</t>
  </si>
  <si>
    <t xml:space="preserve">Decay 1  (80%)</t>
  </si>
  <si>
    <t xml:space="preserve">May 2027</t>
  </si>
  <si>
    <t xml:space="preserve">Decay 2  (65%)</t>
  </si>
  <si>
    <t xml:space="preserve">Jun 2027</t>
  </si>
  <si>
    <t xml:space="preserve">Decay 3  (55%)</t>
  </si>
  <si>
    <t xml:space="preserve">Jul 2027</t>
  </si>
  <si>
    <t xml:space="preserve">Decay 4  (45%)</t>
  </si>
  <si>
    <t xml:space="preserve">Aug 2027</t>
  </si>
  <si>
    <t xml:space="preserve">Decay 5  (38%)</t>
  </si>
  <si>
    <t xml:space="preserve">Sep 2027</t>
  </si>
  <si>
    <t xml:space="preserve">Decay 6  (32%)</t>
  </si>
  <si>
    <t xml:space="preserve">Oct 2027</t>
  </si>
  <si>
    <t xml:space="preserve">Decay 7  (27%)</t>
  </si>
  <si>
    <t xml:space="preserve">Nov 2027</t>
  </si>
  <si>
    <t xml:space="preserve">Decay 8  (23%)</t>
  </si>
  <si>
    <t xml:space="preserve">Dec 2027</t>
  </si>
  <si>
    <t xml:space="preserve">Decay 9  (20%)</t>
  </si>
  <si>
    <t xml:space="preserve">Jan 2028</t>
  </si>
  <si>
    <t xml:space="preserve">Decay 10 (18%)</t>
  </si>
  <si>
    <t xml:space="preserve">Feb 2028</t>
  </si>
  <si>
    <t xml:space="preserve">Decay 11 (18%)</t>
  </si>
  <si>
    <t xml:space="preserve">Mar 2028</t>
  </si>
  <si>
    <t xml:space="preserve">Decay 12 (15%)</t>
  </si>
  <si>
    <t xml:space="preserve">Apr 2028</t>
  </si>
  <si>
    <t xml:space="preserve">Decay 13 (15%)</t>
  </si>
  <si>
    <t xml:space="preserve">May 2028</t>
  </si>
  <si>
    <t xml:space="preserve">Decay 14 (13%)</t>
  </si>
  <si>
    <t xml:space="preserve">Jun 2028</t>
  </si>
  <si>
    <t xml:space="preserve">Decay 15 (10%)</t>
  </si>
  <si>
    <t xml:space="preserve">Jul 2028</t>
  </si>
  <si>
    <t xml:space="preserve">Decay 16 (10%)</t>
  </si>
  <si>
    <t xml:space="preserve">Aug 2028</t>
  </si>
  <si>
    <t xml:space="preserve">Decay 17  (8%)</t>
  </si>
  <si>
    <t xml:space="preserve">Sep 2028</t>
  </si>
  <si>
    <t xml:space="preserve">Decay 18  (8%)</t>
  </si>
  <si>
    <t xml:space="preserve">Oct 2028</t>
  </si>
  <si>
    <t xml:space="preserve">Decay 19  (5%)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</si>
</sst>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"/>
    <numFmt numFmtId="167" formatCode="#,##0.00"/>
    <numFmt numFmtId="168" formatCode="\+#,##0;[RED]\-#,##0;\-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5C42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4"/>
      <color rgb="FFCC0000"/>
      <name val="Arial"/>
      <family val="0"/>
      <charset val="1"/>
    </font>
    <font>
      <i val="true"/>
      <sz val="9"/>
      <color rgb="FF5C4200"/>
      <name val="Arial"/>
      <family val="0"/>
      <charset val="1"/>
    </font>
    <font>
      <b val="true"/>
      <sz val="8"/>
      <color rgb="FF0064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999999"/>
      <name val="Arial"/>
      <family val="0"/>
      <charset val="1"/>
    </font>
    <font>
      <b val="true"/>
      <sz val="8"/>
      <color rgb="FF155724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sz val="8"/>
      <color rgb="FF777777"/>
      <name val="Arial"/>
      <family val="0"/>
      <charset val="1"/>
    </font>
    <font>
      <b val="true"/>
      <sz val="10"/>
      <color rgb="FF444444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5F5F5"/>
        <bgColor rgb="FFF8F8F8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3CD"/>
      </patternFill>
    </fill>
    <fill>
      <patternFill patternType="solid">
        <fgColor rgb="FFE7F3E7"/>
        <bgColor rgb="FFF0F0F0"/>
      </patternFill>
    </fill>
    <fill>
      <patternFill patternType="solid">
        <fgColor rgb="FFFFFFFF"/>
        <bgColor rgb="FFF8F8F8"/>
      </patternFill>
    </fill>
    <fill>
      <patternFill patternType="solid">
        <fgColor rgb="FFFFF3CD"/>
        <bgColor rgb="FFFFF2CC"/>
      </patternFill>
    </fill>
    <fill>
      <patternFill patternType="solid">
        <fgColor rgb="FFE8F4FF"/>
        <bgColor rgb="FFF0F0F0"/>
      </patternFill>
    </fill>
    <fill>
      <patternFill patternType="solid">
        <fgColor rgb="FFDDEBF7"/>
        <bgColor rgb="FFE8F4FF"/>
      </patternFill>
    </fill>
    <fill>
      <patternFill patternType="solid">
        <fgColor rgb="FFF0F0F0"/>
        <bgColor rgb="FFF5F5F5"/>
      </patternFill>
    </fill>
    <fill>
      <patternFill patternType="solid">
        <fgColor rgb="FFD4EDDA"/>
        <bgColor rgb="FFDDEBF7"/>
      </patternFill>
    </fill>
    <fill>
      <patternFill patternType="solid">
        <fgColor rgb="FFF8F8F8"/>
        <bgColor rgb="FFF5F5F5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medium">
        <color rgb="FF555555"/>
      </left>
      <right/>
      <top style="medium">
        <color rgb="FF555555"/>
      </top>
      <bottom style="medium">
        <color rgb="FF555555"/>
      </bottom>
      <diagonal/>
    </border>
    <border diagonalUp="false" diagonalDown="false"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5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AAAAAA"/>
      <rgbColor rgb="FF777777"/>
      <rgbColor rgb="FF9999FF"/>
      <rgbColor rgb="FF993366"/>
      <rgbColor rgb="FFFFF3CD"/>
      <rgbColor rgb="FFE8F4FF"/>
      <rgbColor rgb="FF660066"/>
      <rgbColor rgb="FFFF8080"/>
      <rgbColor rgb="FF0066CC"/>
      <rgbColor rgb="FFF0F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D4EDDA"/>
      <rgbColor rgb="FFFFF2CC"/>
      <rgbColor rgb="FFF5F5F5"/>
      <rgbColor rgb="FFF8F8F8"/>
      <rgbColor rgb="FFCC99FF"/>
      <rgbColor rgb="FFE7F3E7"/>
      <rgbColor rgb="FF2E75B6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339966"/>
      <rgbColor rgb="FF155724"/>
      <rgbColor rgb="FF5C42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10" min="8" style="0" width="10"/>
    <col collapsed="false" customWidth="true" hidden="false" outlineLevel="0" max="11" min="11" style="0" width="3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customFormat="false" ht="35.05" hidden="false" customHeight="false" outlineLevel="0" collapsed="false">
      <c r="A5" s="4" t="s">
        <v>3</v>
      </c>
      <c r="B5" s="5" t="s">
        <v>4</v>
      </c>
      <c r="C5" s="6"/>
      <c r="D5" s="6"/>
      <c r="E5" s="6"/>
      <c r="F5" s="6"/>
      <c r="G5" s="6"/>
      <c r="H5" s="6"/>
      <c r="I5" s="6"/>
      <c r="J5" s="6"/>
      <c r="K5" s="6"/>
    </row>
    <row r="6" customFormat="false" ht="15" hidden="false" customHeight="true" outlineLevel="0" collapsed="false">
      <c r="A6" s="4" t="s">
        <v>5</v>
      </c>
      <c r="B6" s="5" t="s">
        <v>6</v>
      </c>
      <c r="C6" s="6" t="s">
        <v>7</v>
      </c>
      <c r="D6" s="6"/>
      <c r="E6" s="6"/>
      <c r="F6" s="6"/>
      <c r="G6" s="6"/>
      <c r="H6" s="6"/>
      <c r="I6" s="6"/>
      <c r="J6" s="6"/>
      <c r="K6" s="6"/>
    </row>
    <row r="7" customFormat="false" ht="15" hidden="false" customHeight="true" outlineLevel="0" collapsed="false">
      <c r="A7" s="4" t="s">
        <v>8</v>
      </c>
      <c r="B7" s="7" t="n">
        <f aca="false">30/30</f>
        <v>1</v>
      </c>
      <c r="C7" s="6" t="s">
        <v>9</v>
      </c>
      <c r="D7" s="6"/>
      <c r="E7" s="6"/>
      <c r="F7" s="6"/>
      <c r="G7" s="6"/>
      <c r="H7" s="6"/>
      <c r="I7" s="6"/>
      <c r="J7" s="6"/>
      <c r="K7" s="6"/>
    </row>
    <row r="8" customFormat="false" ht="15" hidden="false" customHeight="true" outlineLevel="0" collapsed="false">
      <c r="A8" s="4" t="s">
        <v>10</v>
      </c>
      <c r="B8" s="8" t="n">
        <v>5000</v>
      </c>
      <c r="C8" s="6" t="s">
        <v>11</v>
      </c>
      <c r="D8" s="6"/>
      <c r="E8" s="6"/>
      <c r="F8" s="6"/>
      <c r="G8" s="6"/>
      <c r="H8" s="6"/>
      <c r="I8" s="6"/>
      <c r="J8" s="6"/>
      <c r="K8" s="6"/>
    </row>
    <row r="9" customFormat="false" ht="15" hidden="false" customHeight="true" outlineLevel="0" collapsed="false">
      <c r="A9" s="4" t="s">
        <v>12</v>
      </c>
      <c r="B9" s="8" t="n">
        <v>5000</v>
      </c>
      <c r="C9" s="6" t="s">
        <v>11</v>
      </c>
      <c r="D9" s="6"/>
      <c r="E9" s="6"/>
      <c r="F9" s="6"/>
      <c r="G9" s="6"/>
      <c r="H9" s="6"/>
      <c r="I9" s="6"/>
      <c r="J9" s="6"/>
      <c r="K9" s="6"/>
    </row>
    <row r="10" customFormat="false" ht="15" hidden="false" customHeight="true" outlineLevel="0" collapsed="false">
      <c r="A10" s="4" t="s">
        <v>13</v>
      </c>
      <c r="B10" s="9" t="n">
        <f aca="false">B8+B9</f>
        <v>10000</v>
      </c>
      <c r="C10" s="6" t="s">
        <v>11</v>
      </c>
      <c r="D10" s="6"/>
      <c r="E10" s="6"/>
      <c r="F10" s="6"/>
      <c r="G10" s="6"/>
      <c r="H10" s="6"/>
      <c r="I10" s="6"/>
      <c r="J10" s="6"/>
      <c r="K10" s="6"/>
    </row>
    <row r="12" customFormat="false" ht="18" hidden="false" customHeight="true" outlineLevel="0" collapsed="false">
      <c r="A12" s="3" t="s">
        <v>14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customFormat="false" ht="15" hidden="false" customHeight="true" outlineLevel="0" collapsed="false">
      <c r="A13" s="4" t="s">
        <v>15</v>
      </c>
      <c r="B13" s="10" t="n">
        <v>14</v>
      </c>
      <c r="C13" s="6" t="s">
        <v>16</v>
      </c>
      <c r="D13" s="6"/>
      <c r="E13" s="6"/>
      <c r="F13" s="6"/>
      <c r="G13" s="6"/>
      <c r="H13" s="6"/>
      <c r="I13" s="6"/>
      <c r="J13" s="6"/>
      <c r="K13" s="6"/>
    </row>
    <row r="14" customFormat="false" ht="15" hidden="false" customHeight="true" outlineLevel="0" collapsed="false">
      <c r="A14" s="4" t="s">
        <v>17</v>
      </c>
      <c r="B14" s="8" t="n">
        <v>280000</v>
      </c>
      <c r="C14" s="6" t="s">
        <v>18</v>
      </c>
      <c r="D14" s="6"/>
      <c r="E14" s="6"/>
      <c r="F14" s="6"/>
      <c r="G14" s="6"/>
      <c r="H14" s="6"/>
      <c r="I14" s="6"/>
      <c r="J14" s="6"/>
      <c r="K14" s="6"/>
    </row>
    <row r="15" customFormat="false" ht="15" hidden="false" customHeight="true" outlineLevel="0" collapsed="false">
      <c r="A15" s="4" t="s">
        <v>19</v>
      </c>
      <c r="B15" s="8" t="n">
        <v>40000</v>
      </c>
      <c r="C15" s="6" t="s">
        <v>20</v>
      </c>
      <c r="D15" s="6"/>
      <c r="E15" s="6"/>
      <c r="F15" s="6"/>
      <c r="G15" s="6"/>
      <c r="H15" s="6"/>
      <c r="I15" s="6"/>
      <c r="J15" s="6"/>
      <c r="K15" s="6"/>
    </row>
    <row r="16" customFormat="false" ht="15" hidden="false" customHeight="true" outlineLevel="0" collapsed="false">
      <c r="A16" s="4" t="s">
        <v>21</v>
      </c>
      <c r="B16" s="9" t="n">
        <f aca="false">B14+B15</f>
        <v>320000</v>
      </c>
      <c r="C16" s="6" t="s">
        <v>22</v>
      </c>
      <c r="D16" s="6"/>
      <c r="E16" s="6"/>
      <c r="F16" s="6"/>
      <c r="G16" s="6"/>
      <c r="H16" s="6"/>
      <c r="I16" s="6"/>
      <c r="J16" s="6"/>
      <c r="K16" s="6"/>
    </row>
    <row r="18" customFormat="false" ht="18" hidden="false" customHeight="true" outlineLevel="0" collapsed="false">
      <c r="A18" s="3" t="s">
        <v>23</v>
      </c>
      <c r="B18" s="3"/>
      <c r="C18" s="3"/>
      <c r="D18" s="3"/>
      <c r="E18" s="3"/>
      <c r="F18" s="3"/>
      <c r="G18" s="3"/>
      <c r="H18" s="3"/>
      <c r="I18" s="3"/>
      <c r="J18" s="3"/>
      <c r="K18" s="3"/>
    </row>
    <row r="19" customFormat="false" ht="15" hidden="false" customHeight="false" outlineLevel="0" collapsed="false">
      <c r="A19" s="4" t="s">
        <v>24</v>
      </c>
      <c r="B19" s="8" t="n">
        <v>2800000</v>
      </c>
      <c r="C19" s="6"/>
      <c r="D19" s="6"/>
      <c r="E19" s="6"/>
      <c r="F19" s="6"/>
      <c r="G19" s="6"/>
      <c r="H19" s="6"/>
      <c r="I19" s="6"/>
      <c r="J19" s="6"/>
      <c r="K19" s="6"/>
    </row>
    <row r="20" customFormat="false" ht="15" hidden="false" customHeight="true" outlineLevel="0" collapsed="false">
      <c r="A20" s="4" t="s">
        <v>25</v>
      </c>
      <c r="B20" s="8" t="n">
        <v>700000</v>
      </c>
      <c r="C20" s="6" t="s">
        <v>26</v>
      </c>
      <c r="D20" s="6"/>
      <c r="E20" s="6"/>
      <c r="F20" s="6"/>
      <c r="G20" s="6"/>
      <c r="H20" s="6"/>
      <c r="I20" s="6"/>
      <c r="J20" s="6"/>
      <c r="K20" s="6"/>
    </row>
    <row r="21" customFormat="false" ht="18" hidden="false" customHeight="true" outlineLevel="0" collapsed="false">
      <c r="A21" s="11" t="s">
        <v>27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customFormat="false" ht="30" hidden="false" customHeight="true" outlineLevel="0" collapsed="false">
      <c r="A22" s="12" t="s">
        <v>28</v>
      </c>
      <c r="B22" s="12" t="s">
        <v>29</v>
      </c>
      <c r="C22" s="12" t="s">
        <v>30</v>
      </c>
      <c r="D22" s="12" t="s">
        <v>31</v>
      </c>
      <c r="E22" s="12" t="s">
        <v>32</v>
      </c>
      <c r="F22" s="12" t="s">
        <v>33</v>
      </c>
      <c r="G22" s="12" t="s">
        <v>34</v>
      </c>
      <c r="H22" s="12" t="s">
        <v>35</v>
      </c>
      <c r="I22" s="12" t="s">
        <v>36</v>
      </c>
      <c r="J22" s="12" t="s">
        <v>37</v>
      </c>
      <c r="K22" s="12" t="s">
        <v>38</v>
      </c>
    </row>
    <row r="23" customFormat="false" ht="16.5" hidden="false" customHeight="true" outlineLevel="0" collapsed="false">
      <c r="A23" s="13" t="s">
        <v>39</v>
      </c>
      <c r="B23" s="14" t="n">
        <v>299</v>
      </c>
      <c r="C23" s="15" t="n">
        <v>0</v>
      </c>
      <c r="D23" s="16" t="n">
        <f aca="false">B23*(1-C23)</f>
        <v>299</v>
      </c>
      <c r="E23" s="8" t="n">
        <v>50</v>
      </c>
      <c r="F23" s="17" t="n">
        <f aca="false">B23+E23</f>
        <v>349</v>
      </c>
      <c r="G23" s="18" t="n">
        <v>100.46</v>
      </c>
      <c r="H23" s="19" t="n">
        <v>0.335977257525084</v>
      </c>
      <c r="I23" s="19" t="n">
        <v>0.4423</v>
      </c>
      <c r="J23" s="15" t="n">
        <v>0.6</v>
      </c>
      <c r="K23" s="20" t="s">
        <v>40</v>
      </c>
    </row>
    <row r="24" customFormat="false" ht="16.5" hidden="false" customHeight="true" outlineLevel="0" collapsed="false">
      <c r="A24" s="13" t="s">
        <v>41</v>
      </c>
      <c r="B24" s="14" t="n">
        <v>349</v>
      </c>
      <c r="C24" s="15" t="n">
        <v>0</v>
      </c>
      <c r="D24" s="16" t="n">
        <f aca="false">B24*(1-C24)</f>
        <v>349</v>
      </c>
      <c r="E24" s="8" t="n">
        <v>16</v>
      </c>
      <c r="F24" s="17" t="n">
        <f aca="false">B24+E24</f>
        <v>365</v>
      </c>
      <c r="G24" s="18" t="n">
        <v>52.97</v>
      </c>
      <c r="H24" s="19" t="n">
        <v>0.151785386819484</v>
      </c>
      <c r="I24" s="19" t="n">
        <v>0.4316</v>
      </c>
      <c r="J24" s="15" t="n">
        <v>0.22</v>
      </c>
      <c r="K24" s="20" t="s">
        <v>42</v>
      </c>
    </row>
    <row r="25" customFormat="false" ht="16.5" hidden="false" customHeight="true" outlineLevel="0" collapsed="false">
      <c r="A25" s="13" t="s">
        <v>43</v>
      </c>
      <c r="B25" s="14" t="n">
        <v>279</v>
      </c>
      <c r="C25" s="15" t="n">
        <v>0</v>
      </c>
      <c r="D25" s="16" t="n">
        <f aca="false">B25*(1-C25)</f>
        <v>279</v>
      </c>
      <c r="E25" s="8" t="n">
        <v>16</v>
      </c>
      <c r="F25" s="17" t="n">
        <f aca="false">B25+E25</f>
        <v>295</v>
      </c>
      <c r="G25" s="18" t="n">
        <v>124.83</v>
      </c>
      <c r="H25" s="19" t="n">
        <v>0.447420788530466</v>
      </c>
      <c r="I25" s="19" t="n">
        <v>0.1264</v>
      </c>
      <c r="J25" s="15" t="n">
        <v>0.02</v>
      </c>
      <c r="K25" s="20" t="s">
        <v>44</v>
      </c>
    </row>
    <row r="26" customFormat="false" ht="16.5" hidden="false" customHeight="true" outlineLevel="0" collapsed="false">
      <c r="A26" s="13" t="s">
        <v>45</v>
      </c>
      <c r="B26" s="14" t="n">
        <v>399</v>
      </c>
      <c r="C26" s="15" t="n">
        <v>0.15</v>
      </c>
      <c r="D26" s="16" t="n">
        <f aca="false">B26*(1-C26)</f>
        <v>339.15</v>
      </c>
      <c r="E26" s="8" t="n">
        <v>16</v>
      </c>
      <c r="F26" s="17" t="n">
        <f aca="false">B26+E26</f>
        <v>415</v>
      </c>
      <c r="G26" s="18" t="n">
        <v>197.79</v>
      </c>
      <c r="H26" s="19" t="n">
        <v>0.495712280701754</v>
      </c>
      <c r="I26" s="19" t="n">
        <v>0.0316</v>
      </c>
      <c r="J26" s="15" t="n">
        <v>0.14</v>
      </c>
      <c r="K26" s="20" t="s">
        <v>46</v>
      </c>
    </row>
    <row r="27" customFormat="false" ht="16.5" hidden="false" customHeight="true" outlineLevel="0" collapsed="false">
      <c r="A27" s="13" t="s">
        <v>47</v>
      </c>
      <c r="B27" s="14" t="n">
        <v>449</v>
      </c>
      <c r="C27" s="15" t="n">
        <v>0.15</v>
      </c>
      <c r="D27" s="16" t="n">
        <f aca="false">B27*(1-C27)</f>
        <v>381.65</v>
      </c>
      <c r="E27" s="8" t="n">
        <v>0</v>
      </c>
      <c r="F27" s="17" t="n">
        <f aca="false">B27+E27</f>
        <v>449</v>
      </c>
      <c r="G27" s="18" t="n">
        <v>226.04</v>
      </c>
      <c r="H27" s="19" t="n">
        <v>0.503419599109132</v>
      </c>
      <c r="I27" s="19" t="n">
        <v>0</v>
      </c>
      <c r="J27" s="15" t="n">
        <v>0.02</v>
      </c>
      <c r="K27" s="20" t="s">
        <v>48</v>
      </c>
    </row>
    <row r="28" customFormat="false" ht="15" hidden="false" customHeight="true" outlineLevel="0" collapsed="false">
      <c r="A28" s="21" t="s">
        <v>49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</sheetData>
  <mergeCells count="20">
    <mergeCell ref="A1:K1"/>
    <mergeCell ref="A2:K2"/>
    <mergeCell ref="A4:K4"/>
    <mergeCell ref="C5:K5"/>
    <mergeCell ref="C6:K6"/>
    <mergeCell ref="C7:K7"/>
    <mergeCell ref="C8:K8"/>
    <mergeCell ref="C9:K9"/>
    <mergeCell ref="C10:K10"/>
    <mergeCell ref="A12:K12"/>
    <mergeCell ref="C13:K13"/>
    <mergeCell ref="C14:K14"/>
    <mergeCell ref="C15:K15"/>
    <mergeCell ref="C16:K16"/>
    <mergeCell ref="A18:K18"/>
    <mergeCell ref="C19:K19"/>
    <mergeCell ref="C20:K20"/>
    <mergeCell ref="A21:K21"/>
    <mergeCell ref="C21:K21"/>
    <mergeCell ref="A28:K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9" min="4" style="0" width="10"/>
    <col collapsed="false" customWidth="true" hidden="false" outlineLevel="0" max="12" min="10" style="0" width="14"/>
    <col collapsed="false" customWidth="true" hidden="false" outlineLevel="0" max="13" min="13" style="0" width="10"/>
    <col collapsed="false" customWidth="true" hidden="false" outlineLevel="0" max="15" min="14" style="0" width="16"/>
  </cols>
  <sheetData>
    <row r="1" customFormat="false" ht="25.5" hidden="false" customHeight="true" outlineLevel="0" collapsed="false">
      <c r="A1" s="22" t="s">
        <v>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</row>
    <row r="2" customFormat="false" ht="15" hidden="false" customHeight="true" outlineLevel="0" collapsed="false">
      <c r="A2" s="2" t="s">
        <v>51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23" t="s">
        <v>52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</row>
    <row r="4" customFormat="false" ht="36" hidden="false" customHeight="true" outlineLevel="0" collapsed="false">
      <c r="A4" s="12" t="s">
        <v>53</v>
      </c>
      <c r="B4" s="12" t="s">
        <v>54</v>
      </c>
      <c r="C4" s="12" t="s">
        <v>55</v>
      </c>
      <c r="D4" s="12" t="s">
        <v>56</v>
      </c>
      <c r="E4" s="12" t="s">
        <v>57</v>
      </c>
      <c r="F4" s="12" t="s">
        <v>58</v>
      </c>
      <c r="G4" s="12" t="s">
        <v>59</v>
      </c>
      <c r="H4" s="12" t="s">
        <v>60</v>
      </c>
      <c r="I4" s="12" t="s">
        <v>61</v>
      </c>
      <c r="J4" s="12" t="s">
        <v>62</v>
      </c>
      <c r="K4" s="12" t="s">
        <v>63</v>
      </c>
      <c r="L4" s="12" t="s">
        <v>64</v>
      </c>
      <c r="M4" s="12" t="s">
        <v>65</v>
      </c>
      <c r="N4" s="12" t="s">
        <v>66</v>
      </c>
      <c r="O4" s="12" t="s">
        <v>67</v>
      </c>
    </row>
    <row r="5" customFormat="false" ht="25.5" hidden="false" customHeight="true" outlineLevel="0" collapsed="false">
      <c r="A5" s="24" t="s">
        <v>68</v>
      </c>
      <c r="B5" s="24"/>
      <c r="C5" s="25" t="n">
        <v>3256</v>
      </c>
      <c r="D5" s="26" t="s">
        <v>69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customFormat="false" ht="15" hidden="false" customHeight="true" outlineLevel="0" collapsed="false">
      <c r="A6" s="27" t="s">
        <v>70</v>
      </c>
      <c r="B6" s="28" t="s">
        <v>71</v>
      </c>
      <c r="C6" s="29" t="n">
        <f aca="false">$C$5</f>
        <v>3256</v>
      </c>
      <c r="D6" s="30" t="n">
        <f aca="false">ROUND(C6*0.6,0)</f>
        <v>1954</v>
      </c>
      <c r="E6" s="30" t="n">
        <f aca="false">ROUND(C6*0.22,0)</f>
        <v>716</v>
      </c>
      <c r="F6" s="30" t="n">
        <f aca="false">ROUND(C6*0.02,0)</f>
        <v>65</v>
      </c>
      <c r="G6" s="30" t="n">
        <f aca="false">ROUND(C6*0.14,0)</f>
        <v>456</v>
      </c>
      <c r="H6" s="30" t="n">
        <f aca="false">ROUND(C6*0.02,0)</f>
        <v>65</v>
      </c>
      <c r="I6" s="31" t="n">
        <v>0</v>
      </c>
      <c r="J6" s="32" t="n">
        <f aca="false">D6*299+E6*349+F6*279+G6*399+H6*449+I6*0</f>
        <v>1063394</v>
      </c>
      <c r="K6" s="32" t="n">
        <f aca="false">D6*299*0.4423+E6*349*0.4316+F6*279*0.1264+G6*399*0.0316</f>
        <v>374303.6346</v>
      </c>
      <c r="L6" s="32" t="n">
        <f aca="false">D6*68.37+E6*20.33+F6*83.35+G6*154.62+H6*225.36</f>
        <v>238724.13</v>
      </c>
      <c r="M6" s="7" t="n">
        <f aca="false">IFERROR(L6/J6,0)</f>
        <v>0.224492643366429</v>
      </c>
      <c r="N6" s="32" t="n">
        <f aca="false">L6</f>
        <v>238724.13</v>
      </c>
      <c r="O6" s="33" t="n">
        <f aca="false">N6-700000</f>
        <v>-461275.87</v>
      </c>
    </row>
    <row r="7" customFormat="false" ht="15" hidden="false" customHeight="true" outlineLevel="0" collapsed="false">
      <c r="A7" s="27" t="s">
        <v>72</v>
      </c>
      <c r="B7" s="28" t="s">
        <v>71</v>
      </c>
      <c r="C7" s="29" t="n">
        <f aca="false">$C$5</f>
        <v>3256</v>
      </c>
      <c r="D7" s="30" t="n">
        <f aca="false">ROUND(C7*0.6,0)</f>
        <v>1954</v>
      </c>
      <c r="E7" s="30" t="n">
        <f aca="false">ROUND(C7*0.22,0)</f>
        <v>716</v>
      </c>
      <c r="F7" s="30" t="n">
        <f aca="false">ROUND(C7*0.02,0)</f>
        <v>65</v>
      </c>
      <c r="G7" s="30" t="n">
        <f aca="false">ROUND(C7*0.14,0)</f>
        <v>456</v>
      </c>
      <c r="H7" s="30" t="n">
        <f aca="false">ROUND(C7*0.02,0)</f>
        <v>65</v>
      </c>
      <c r="I7" s="31" t="n">
        <v>0</v>
      </c>
      <c r="J7" s="32" t="n">
        <f aca="false">D7*299+E7*349+F7*279+G7*399+H7*449+I7*0</f>
        <v>1063394</v>
      </c>
      <c r="K7" s="32" t="n">
        <f aca="false">D7*299*0.4423+E7*349*0.4316+F7*279*0.1264+G7*399*0.0316</f>
        <v>374303.6346</v>
      </c>
      <c r="L7" s="32" t="n">
        <f aca="false">D7*68.37+E7*20.33+F7*83.35+G7*154.62+H7*225.36</f>
        <v>238724.13</v>
      </c>
      <c r="M7" s="7" t="n">
        <f aca="false">IFERROR(L7/J7,0)</f>
        <v>0.224492643366429</v>
      </c>
      <c r="N7" s="32" t="n">
        <f aca="false">N6+L7</f>
        <v>477448.26</v>
      </c>
      <c r="O7" s="33" t="n">
        <f aca="false">N7-700000</f>
        <v>-222551.74</v>
      </c>
    </row>
    <row r="8" customFormat="false" ht="15" hidden="false" customHeight="true" outlineLevel="0" collapsed="false">
      <c r="A8" s="27" t="s">
        <v>73</v>
      </c>
      <c r="B8" s="28" t="s">
        <v>71</v>
      </c>
      <c r="C8" s="29" t="n">
        <f aca="false">$C$5</f>
        <v>3256</v>
      </c>
      <c r="D8" s="30" t="n">
        <f aca="false">ROUND(C8*0.6,0)</f>
        <v>1954</v>
      </c>
      <c r="E8" s="30" t="n">
        <f aca="false">ROUND(C8*0.22,0)</f>
        <v>716</v>
      </c>
      <c r="F8" s="30" t="n">
        <f aca="false">ROUND(C8*0.02,0)</f>
        <v>65</v>
      </c>
      <c r="G8" s="30" t="n">
        <f aca="false">ROUND(C8*0.14,0)</f>
        <v>456</v>
      </c>
      <c r="H8" s="30" t="n">
        <f aca="false">ROUND(C8*0.02,0)</f>
        <v>65</v>
      </c>
      <c r="I8" s="31" t="n">
        <v>0</v>
      </c>
      <c r="J8" s="32" t="n">
        <f aca="false">D8*299+E8*349+F8*279+G8*399+H8*449+I8*0</f>
        <v>1063394</v>
      </c>
      <c r="K8" s="32" t="n">
        <f aca="false">D8*299*0.4423+E8*349*0.4316+F8*279*0.1264+G8*399*0.0316</f>
        <v>374303.6346</v>
      </c>
      <c r="L8" s="32" t="n">
        <f aca="false">D8*68.37+E8*20.33+F8*83.35+G8*154.62+H8*225.36</f>
        <v>238724.13</v>
      </c>
      <c r="M8" s="7" t="n">
        <f aca="false">IFERROR(L8/J8,0)</f>
        <v>0.224492643366429</v>
      </c>
      <c r="N8" s="32" t="n">
        <f aca="false">N7+L8</f>
        <v>716172.39</v>
      </c>
      <c r="O8" s="33" t="n">
        <f aca="false">N8-700000</f>
        <v>16172.39</v>
      </c>
    </row>
    <row r="9" customFormat="false" ht="15" hidden="false" customHeight="true" outlineLevel="0" collapsed="false">
      <c r="A9" s="27" t="s">
        <v>74</v>
      </c>
      <c r="B9" s="28" t="s">
        <v>71</v>
      </c>
      <c r="C9" s="29" t="n">
        <f aca="false">$C$5</f>
        <v>3256</v>
      </c>
      <c r="D9" s="30" t="n">
        <f aca="false">ROUND(C9*0.6,0)</f>
        <v>1954</v>
      </c>
      <c r="E9" s="30" t="n">
        <f aca="false">ROUND(C9*0.22,0)</f>
        <v>716</v>
      </c>
      <c r="F9" s="30" t="n">
        <f aca="false">ROUND(C9*0.02,0)</f>
        <v>65</v>
      </c>
      <c r="G9" s="30" t="n">
        <f aca="false">ROUND(C9*0.14,0)</f>
        <v>456</v>
      </c>
      <c r="H9" s="30" t="n">
        <f aca="false">ROUND(C9*0.02,0)</f>
        <v>65</v>
      </c>
      <c r="I9" s="31" t="n">
        <v>0</v>
      </c>
      <c r="J9" s="32" t="n">
        <f aca="false">D9*299+E9*349+F9*279+G9*399+H9*449+I9*0</f>
        <v>1063394</v>
      </c>
      <c r="K9" s="32" t="n">
        <f aca="false">D9*299*0.4423+E9*349*0.4316+F9*279*0.1264+G9*399*0.0316</f>
        <v>374303.6346</v>
      </c>
      <c r="L9" s="32" t="n">
        <f aca="false">D9*68.37+E9*20.33+F9*83.35+G9*154.62+H9*225.36</f>
        <v>238724.13</v>
      </c>
      <c r="M9" s="7" t="n">
        <f aca="false">IFERROR(L9/J9,0)</f>
        <v>0.224492643366429</v>
      </c>
      <c r="N9" s="32" t="n">
        <f aca="false">N8+L9</f>
        <v>954896.52</v>
      </c>
      <c r="O9" s="33" t="n">
        <f aca="false">N9-700000</f>
        <v>254896.52</v>
      </c>
    </row>
    <row r="10" customFormat="false" ht="15" hidden="false" customHeight="true" outlineLevel="0" collapsed="false">
      <c r="A10" s="34" t="s">
        <v>75</v>
      </c>
      <c r="B10" s="35" t="s">
        <v>76</v>
      </c>
      <c r="C10" s="29" t="n">
        <f aca="false">$C$5</f>
        <v>3256</v>
      </c>
      <c r="D10" s="30" t="n">
        <f aca="false">ROUND(C10*0.6,0)</f>
        <v>1954</v>
      </c>
      <c r="E10" s="30" t="n">
        <f aca="false">ROUND(C10*0.22,0)</f>
        <v>716</v>
      </c>
      <c r="F10" s="30" t="n">
        <f aca="false">ROUND(C10*0.02,0)</f>
        <v>65</v>
      </c>
      <c r="G10" s="30" t="n">
        <f aca="false">ROUND(C10*0.14,0)</f>
        <v>456</v>
      </c>
      <c r="H10" s="30" t="n">
        <f aca="false">ROUND(C10*0.02,0)</f>
        <v>65</v>
      </c>
      <c r="I10" s="31" t="n">
        <v>0</v>
      </c>
      <c r="J10" s="32" t="n">
        <f aca="false">D10*299+E10*349+F10*279+G10*399+H10*449+I10*0</f>
        <v>1063394</v>
      </c>
      <c r="K10" s="32" t="n">
        <f aca="false">D10*299*0.4423+E10*349*0.4316+F10*279*0.1264+G10*399*0.0316</f>
        <v>374303.6346</v>
      </c>
      <c r="L10" s="32" t="n">
        <f aca="false">D10*68.37+E10*20.33+F10*83.35+G10*154.62+H10*225.36</f>
        <v>238724.13</v>
      </c>
      <c r="M10" s="7" t="n">
        <f aca="false">IFERROR(L10/J10,0)</f>
        <v>0.224492643366429</v>
      </c>
      <c r="N10" s="32" t="n">
        <f aca="false">N9+L10</f>
        <v>1193620.65</v>
      </c>
      <c r="O10" s="36" t="n">
        <f aca="false">N10-700000</f>
        <v>493620.65</v>
      </c>
    </row>
    <row r="11" customFormat="false" ht="15" hidden="false" customHeight="true" outlineLevel="0" collapsed="false">
      <c r="A11" s="5" t="s">
        <v>77</v>
      </c>
      <c r="B11" s="37" t="s">
        <v>78</v>
      </c>
      <c r="C11" s="38" t="n">
        <f aca="false">ROUND($C$5*0.8,0)</f>
        <v>2605</v>
      </c>
      <c r="D11" s="30" t="n">
        <f aca="false">ROUND(C11*0.6,0)</f>
        <v>1563</v>
      </c>
      <c r="E11" s="30" t="n">
        <f aca="false">ROUND(C11*0.22,0)</f>
        <v>573</v>
      </c>
      <c r="F11" s="30" t="n">
        <f aca="false">ROUND(C11*0.02,0)</f>
        <v>52</v>
      </c>
      <c r="G11" s="30" t="n">
        <f aca="false">ROUND(C11*0.14,0)</f>
        <v>365</v>
      </c>
      <c r="H11" s="30" t="n">
        <f aca="false">ROUND(C11*0.02,0)</f>
        <v>52</v>
      </c>
      <c r="I11" s="31" t="n">
        <v>0</v>
      </c>
      <c r="J11" s="32" t="n">
        <f aca="false">D11*299+E11*349+F11*279+G11*399+H11*449+I11*0</f>
        <v>850805</v>
      </c>
      <c r="K11" s="32" t="n">
        <f aca="false">D11*299*0.4423+E11*349*0.4316+F11*279*0.1264+G11*399*0.0316</f>
        <v>299449.1055</v>
      </c>
      <c r="L11" s="32" t="n">
        <f aca="false">D11*68.37+E11*20.33+F11*83.35+G11*154.62+H11*225.36</f>
        <v>191000.62</v>
      </c>
      <c r="M11" s="7" t="n">
        <f aca="false">IFERROR(L11/J11,0)</f>
        <v>0.224494002738583</v>
      </c>
      <c r="N11" s="32" t="n">
        <f aca="false">N10+L11</f>
        <v>1384621.27</v>
      </c>
      <c r="O11" s="33" t="n">
        <f aca="false">N11-700000</f>
        <v>684621.27</v>
      </c>
    </row>
    <row r="12" customFormat="false" ht="15" hidden="false" customHeight="true" outlineLevel="0" collapsed="false">
      <c r="A12" s="5" t="s">
        <v>79</v>
      </c>
      <c r="B12" s="37" t="s">
        <v>80</v>
      </c>
      <c r="C12" s="38" t="n">
        <f aca="false">ROUND($C$5*0.6508,0)</f>
        <v>2119</v>
      </c>
      <c r="D12" s="30" t="n">
        <f aca="false">ROUND(C12*0.6,0)</f>
        <v>1271</v>
      </c>
      <c r="E12" s="30" t="n">
        <f aca="false">ROUND(C12*0.22,0)</f>
        <v>466</v>
      </c>
      <c r="F12" s="30" t="n">
        <f aca="false">ROUND(C12*0.02,0)</f>
        <v>42</v>
      </c>
      <c r="G12" s="30" t="n">
        <f aca="false">ROUND(C12*0.14,0)</f>
        <v>297</v>
      </c>
      <c r="H12" s="30" t="n">
        <f aca="false">ROUND(C12*0.02,0)</f>
        <v>42</v>
      </c>
      <c r="I12" s="31" t="n">
        <v>0</v>
      </c>
      <c r="J12" s="32" t="n">
        <f aca="false">D12*299+E12*349+F12*279+G12*399+H12*449+I12*0</f>
        <v>691742</v>
      </c>
      <c r="K12" s="32" t="n">
        <f aca="false">D12*299*0.4423+E12*349*0.4316+F12*279*0.1264+G12*399*0.0316</f>
        <v>243505.5111</v>
      </c>
      <c r="L12" s="32" t="n">
        <f aca="false">D12*68.37+E12*20.33+F12*83.35+G12*154.62+H12*225.36</f>
        <v>155260.01</v>
      </c>
      <c r="M12" s="7" t="n">
        <f aca="false">IFERROR(L12/J12,0)</f>
        <v>0.224447857727303</v>
      </c>
      <c r="N12" s="32" t="n">
        <f aca="false">N11+L12</f>
        <v>1539881.28</v>
      </c>
      <c r="O12" s="33" t="n">
        <f aca="false">N12-700000</f>
        <v>839881.28</v>
      </c>
    </row>
    <row r="13" customFormat="false" ht="15" hidden="false" customHeight="true" outlineLevel="0" collapsed="false">
      <c r="A13" s="5" t="s">
        <v>81</v>
      </c>
      <c r="B13" s="37" t="s">
        <v>82</v>
      </c>
      <c r="C13" s="38" t="n">
        <f aca="false">ROUND($C$5*0.5508,0)</f>
        <v>1793</v>
      </c>
      <c r="D13" s="30" t="n">
        <f aca="false">ROUND(C13*0.6,0)</f>
        <v>1076</v>
      </c>
      <c r="E13" s="30" t="n">
        <f aca="false">ROUND(C13*0.22,0)</f>
        <v>394</v>
      </c>
      <c r="F13" s="30" t="n">
        <f aca="false">ROUND(C13*0.02,0)</f>
        <v>36</v>
      </c>
      <c r="G13" s="30" t="n">
        <f aca="false">ROUND(C13*0.14,0)</f>
        <v>251</v>
      </c>
      <c r="H13" s="30" t="n">
        <f aca="false">ROUND(C13*0.02,0)</f>
        <v>36</v>
      </c>
      <c r="I13" s="31" t="n">
        <v>0</v>
      </c>
      <c r="J13" s="32" t="n">
        <f aca="false">D13*299+E13*349+F13*279+G13*399+H13*449+I13*0</f>
        <v>585587</v>
      </c>
      <c r="K13" s="32" t="n">
        <f aca="false">D13*299*0.4423+E13*349*0.4316+F13*279*0.1264+G13*399*0.0316</f>
        <v>206080.3848</v>
      </c>
      <c r="L13" s="32" t="n">
        <f aca="false">D13*68.37+E13*20.33+F13*83.35+G13*154.62+H13*225.36</f>
        <v>131499.32</v>
      </c>
      <c r="M13" s="7" t="n">
        <f aca="false">IFERROR(L13/J13,0)</f>
        <v>0.224559834832399</v>
      </c>
      <c r="N13" s="32" t="n">
        <f aca="false">N12+L13</f>
        <v>1671380.6</v>
      </c>
      <c r="O13" s="33" t="n">
        <f aca="false">N13-700000</f>
        <v>971380.6</v>
      </c>
    </row>
    <row r="14" customFormat="false" ht="15" hidden="false" customHeight="true" outlineLevel="0" collapsed="false">
      <c r="A14" s="5" t="s">
        <v>83</v>
      </c>
      <c r="B14" s="37" t="s">
        <v>84</v>
      </c>
      <c r="C14" s="38" t="n">
        <f aca="false">ROUND($C$5*0.4508,0)</f>
        <v>1468</v>
      </c>
      <c r="D14" s="30" t="n">
        <f aca="false">ROUND(C14*0.6,0)</f>
        <v>881</v>
      </c>
      <c r="E14" s="30" t="n">
        <f aca="false">ROUND(C14*0.22,0)</f>
        <v>323</v>
      </c>
      <c r="F14" s="30" t="n">
        <f aca="false">ROUND(C14*0.02,0)</f>
        <v>29</v>
      </c>
      <c r="G14" s="30" t="n">
        <f aca="false">ROUND(C14*0.14,0)</f>
        <v>206</v>
      </c>
      <c r="H14" s="30" t="n">
        <f aca="false">ROUND(C14*0.02,0)</f>
        <v>29</v>
      </c>
      <c r="I14" s="31" t="n">
        <v>0</v>
      </c>
      <c r="J14" s="32" t="n">
        <f aca="false">D14*299+E14*349+F14*279+G14*399+H14*449+I14*0</f>
        <v>479452</v>
      </c>
      <c r="K14" s="32" t="n">
        <f aca="false">D14*299*0.4423+E14*349*0.4316+F14*279*0.1264+G14*399*0.0316</f>
        <v>168783.2297</v>
      </c>
      <c r="L14" s="32" t="n">
        <f aca="false">D14*68.37+E14*20.33+F14*83.35+G14*154.62+H14*225.36</f>
        <v>107604.87</v>
      </c>
      <c r="M14" s="7" t="n">
        <f aca="false">IFERROR(L14/J14,0)</f>
        <v>0.224433040220919</v>
      </c>
      <c r="N14" s="32" t="n">
        <f aca="false">N13+L14</f>
        <v>1778985.47</v>
      </c>
      <c r="O14" s="33" t="n">
        <f aca="false">N14-700000</f>
        <v>1078985.47</v>
      </c>
    </row>
    <row r="15" customFormat="false" ht="15" hidden="false" customHeight="true" outlineLevel="0" collapsed="false">
      <c r="A15" s="5" t="s">
        <v>85</v>
      </c>
      <c r="B15" s="37" t="s">
        <v>86</v>
      </c>
      <c r="C15" s="38" t="n">
        <f aca="false">ROUND($C$5*0.38,0)</f>
        <v>1237</v>
      </c>
      <c r="D15" s="30" t="n">
        <f aca="false">ROUND(C15*0.6,0)</f>
        <v>742</v>
      </c>
      <c r="E15" s="30" t="n">
        <f aca="false">ROUND(C15*0.22,0)</f>
        <v>272</v>
      </c>
      <c r="F15" s="30" t="n">
        <f aca="false">ROUND(C15*0.02,0)</f>
        <v>25</v>
      </c>
      <c r="G15" s="30" t="n">
        <f aca="false">ROUND(C15*0.14,0)</f>
        <v>173</v>
      </c>
      <c r="H15" s="30" t="n">
        <f aca="false">ROUND(C15*0.02,0)</f>
        <v>25</v>
      </c>
      <c r="I15" s="31" t="n">
        <v>0</v>
      </c>
      <c r="J15" s="32" t="n">
        <f aca="false">D15*299+E15*349+F15*279+G15*399+H15*449+I15*0</f>
        <v>404013</v>
      </c>
      <c r="K15" s="32" t="n">
        <f aca="false">D15*299*0.4423+E15*349*0.4316+F15*279*0.1264+G15*399*0.0316</f>
        <v>142161.6114</v>
      </c>
      <c r="L15" s="32" t="n">
        <f aca="false">D15*68.37+E15*20.33+F15*83.35+G15*154.62+H15*225.36</f>
        <v>90727.31</v>
      </c>
      <c r="M15" s="7" t="n">
        <f aca="false">IFERROR(L15/J15,0)</f>
        <v>0.224565323393059</v>
      </c>
      <c r="N15" s="32" t="n">
        <f aca="false">N14+L15</f>
        <v>1869712.78</v>
      </c>
      <c r="O15" s="33" t="n">
        <f aca="false">N15-700000</f>
        <v>1169712.78</v>
      </c>
    </row>
    <row r="16" customFormat="false" ht="15" hidden="false" customHeight="true" outlineLevel="0" collapsed="false">
      <c r="A16" s="5" t="s">
        <v>87</v>
      </c>
      <c r="B16" s="37" t="s">
        <v>88</v>
      </c>
      <c r="C16" s="38" t="n">
        <f aca="false">ROUND($C$5*0.32,0)</f>
        <v>1042</v>
      </c>
      <c r="D16" s="30" t="n">
        <f aca="false">ROUND(C16*0.6,0)</f>
        <v>625</v>
      </c>
      <c r="E16" s="30" t="n">
        <f aca="false">ROUND(C16*0.22,0)</f>
        <v>229</v>
      </c>
      <c r="F16" s="30" t="n">
        <f aca="false">ROUND(C16*0.02,0)</f>
        <v>21</v>
      </c>
      <c r="G16" s="30" t="n">
        <f aca="false">ROUND(C16*0.14,0)</f>
        <v>146</v>
      </c>
      <c r="H16" s="30" t="n">
        <f aca="false">ROUND(C16*0.02,0)</f>
        <v>21</v>
      </c>
      <c r="I16" s="31" t="n">
        <v>0</v>
      </c>
      <c r="J16" s="32" t="n">
        <f aca="false">D16*299+E16*349+F16*279+G16*399+H16*449+I16*0</f>
        <v>340338</v>
      </c>
      <c r="K16" s="32" t="n">
        <f aca="false">D16*299*0.4423+E16*349*0.4316+F16*279*0.1264+G16*399*0.0316</f>
        <v>119730.1201</v>
      </c>
      <c r="L16" s="32" t="n">
        <f aca="false">D16*68.37+E16*20.33+F16*83.35+G16*154.62+H16*225.36</f>
        <v>76444.25</v>
      </c>
      <c r="M16" s="7" t="n">
        <f aca="false">IFERROR(L16/J16,0)</f>
        <v>0.224612737925239</v>
      </c>
      <c r="N16" s="32" t="n">
        <f aca="false">N15+L16</f>
        <v>1946157.03</v>
      </c>
      <c r="O16" s="33" t="n">
        <f aca="false">N16-700000</f>
        <v>1246157.03</v>
      </c>
    </row>
    <row r="17" customFormat="false" ht="15" hidden="false" customHeight="true" outlineLevel="0" collapsed="false">
      <c r="A17" s="5" t="s">
        <v>89</v>
      </c>
      <c r="B17" s="37" t="s">
        <v>90</v>
      </c>
      <c r="C17" s="38" t="n">
        <f aca="false">ROUND($C$5*0.2708,0)</f>
        <v>882</v>
      </c>
      <c r="D17" s="30" t="n">
        <f aca="false">ROUND(C17*0.6,0)</f>
        <v>529</v>
      </c>
      <c r="E17" s="30" t="n">
        <f aca="false">ROUND(C17*0.22,0)</f>
        <v>194</v>
      </c>
      <c r="F17" s="30" t="n">
        <f aca="false">ROUND(C17*0.02,0)</f>
        <v>18</v>
      </c>
      <c r="G17" s="30" t="n">
        <f aca="false">ROUND(C17*0.14,0)</f>
        <v>123</v>
      </c>
      <c r="H17" s="30" t="n">
        <f aca="false">ROUND(C17*0.02,0)</f>
        <v>18</v>
      </c>
      <c r="I17" s="31" t="n">
        <v>0</v>
      </c>
      <c r="J17" s="32" t="n">
        <f aca="false">D17*299+E17*349+F17*279+G17*399+H17*449+I17*0</f>
        <v>288058</v>
      </c>
      <c r="K17" s="32" t="n">
        <f aca="false">D17*299*0.4423+E17*349*0.4316+F17*279*0.1264+G17*399*0.0316</f>
        <v>101366.5569</v>
      </c>
      <c r="L17" s="32" t="n">
        <f aca="false">D17*68.37+E17*20.33+F17*83.35+G17*154.62+H17*225.36</f>
        <v>64686.79</v>
      </c>
      <c r="M17" s="7" t="n">
        <f aca="false">IFERROR(L17/J17,0)</f>
        <v>0.224561685493894</v>
      </c>
      <c r="N17" s="32" t="n">
        <f aca="false">N16+L17</f>
        <v>2010843.82</v>
      </c>
      <c r="O17" s="33" t="n">
        <f aca="false">N17-700000</f>
        <v>1310843.82</v>
      </c>
    </row>
    <row r="18" customFormat="false" ht="15" hidden="false" customHeight="true" outlineLevel="0" collapsed="false">
      <c r="A18" s="5" t="s">
        <v>91</v>
      </c>
      <c r="B18" s="37" t="s">
        <v>92</v>
      </c>
      <c r="C18" s="38" t="n">
        <f aca="false">ROUND($C$5*0.2308,0)</f>
        <v>751</v>
      </c>
      <c r="D18" s="30" t="n">
        <f aca="false">ROUND(C18*0.6,0)</f>
        <v>451</v>
      </c>
      <c r="E18" s="30" t="n">
        <f aca="false">ROUND(C18*0.22,0)</f>
        <v>165</v>
      </c>
      <c r="F18" s="30" t="n">
        <f aca="false">ROUND(C18*0.02,0)</f>
        <v>15</v>
      </c>
      <c r="G18" s="30" t="n">
        <f aca="false">ROUND(C18*0.14,0)</f>
        <v>105</v>
      </c>
      <c r="H18" s="30" t="n">
        <f aca="false">ROUND(C18*0.02,0)</f>
        <v>15</v>
      </c>
      <c r="I18" s="31" t="n">
        <v>0</v>
      </c>
      <c r="J18" s="32" t="n">
        <f aca="false">D18*299+E18*349+F18*279+G18*399+H18*449+I18*0</f>
        <v>245249</v>
      </c>
      <c r="K18" s="32" t="n">
        <f aca="false">D18*299*0.4423+E18*349*0.4316+F18*279*0.1264+G18*399*0.0316</f>
        <v>86350.2647</v>
      </c>
      <c r="L18" s="32" t="n">
        <f aca="false">D18*68.37+E18*20.33+F18*83.35+G18*154.62+H18*225.36</f>
        <v>55055.07</v>
      </c>
      <c r="M18" s="7" t="n">
        <f aca="false">IFERROR(L18/J18,0)</f>
        <v>0.22448641992424</v>
      </c>
      <c r="N18" s="32" t="n">
        <f aca="false">N17+L18</f>
        <v>2065898.89</v>
      </c>
      <c r="O18" s="33" t="n">
        <f aca="false">N18-700000</f>
        <v>1365898.89</v>
      </c>
    </row>
    <row r="19" customFormat="false" ht="15" hidden="false" customHeight="true" outlineLevel="0" collapsed="false">
      <c r="A19" s="5" t="s">
        <v>93</v>
      </c>
      <c r="B19" s="37" t="s">
        <v>94</v>
      </c>
      <c r="C19" s="38" t="n">
        <f aca="false">ROUND($C$5*0.2,0)</f>
        <v>651</v>
      </c>
      <c r="D19" s="30" t="n">
        <f aca="false">ROUND(C19*0.6,0)</f>
        <v>391</v>
      </c>
      <c r="E19" s="30" t="n">
        <f aca="false">ROUND(C19*0.22,0)</f>
        <v>143</v>
      </c>
      <c r="F19" s="30" t="n">
        <f aca="false">ROUND(C19*0.02,0)</f>
        <v>13</v>
      </c>
      <c r="G19" s="30" t="n">
        <f aca="false">ROUND(C19*0.14,0)</f>
        <v>91</v>
      </c>
      <c r="H19" s="30" t="n">
        <f aca="false">ROUND(C19*0.02,0)</f>
        <v>13</v>
      </c>
      <c r="I19" s="31" t="n">
        <v>0</v>
      </c>
      <c r="J19" s="32" t="n">
        <f aca="false">D19*299+E19*349+F19*279+G19*399+H19*449+I19*0</f>
        <v>212589</v>
      </c>
      <c r="K19" s="32" t="n">
        <f aca="false">D19*299*0.4423+E19*349*0.4316+F19*279*0.1264+G19*399*0.0316</f>
        <v>74854.5291</v>
      </c>
      <c r="L19" s="32" t="n">
        <f aca="false">D19*68.37+E19*20.33+F19*83.35+G19*154.62+H19*225.36</f>
        <v>47723.51</v>
      </c>
      <c r="M19" s="7" t="n">
        <f aca="false">IFERROR(L19/J19,0)</f>
        <v>0.224487203006741</v>
      </c>
      <c r="N19" s="32" t="n">
        <f aca="false">N18+L19</f>
        <v>2113622.4</v>
      </c>
      <c r="O19" s="33" t="n">
        <f aca="false">N19-700000</f>
        <v>1413622.4</v>
      </c>
    </row>
    <row r="20" customFormat="false" ht="15" hidden="false" customHeight="true" outlineLevel="0" collapsed="false">
      <c r="A20" s="5" t="s">
        <v>95</v>
      </c>
      <c r="B20" s="37" t="s">
        <v>96</v>
      </c>
      <c r="C20" s="38" t="n">
        <f aca="false">ROUND($C$5*0.1756,0)</f>
        <v>572</v>
      </c>
      <c r="D20" s="30" t="n">
        <f aca="false">ROUND(C20*0.6,0)</f>
        <v>343</v>
      </c>
      <c r="E20" s="30" t="n">
        <f aca="false">ROUND(C20*0.22,0)</f>
        <v>126</v>
      </c>
      <c r="F20" s="30" t="n">
        <f aca="false">ROUND(C20*0.02,0)</f>
        <v>11</v>
      </c>
      <c r="G20" s="30" t="n">
        <f aca="false">ROUND(C20*0.14,0)</f>
        <v>80</v>
      </c>
      <c r="H20" s="30" t="n">
        <f aca="false">ROUND(C20*0.02,0)</f>
        <v>11</v>
      </c>
      <c r="I20" s="31" t="n">
        <v>0</v>
      </c>
      <c r="J20" s="32" t="n">
        <f aca="false">D20*299+E20*349+F20*279+G20*399+H20*449+I20*0</f>
        <v>186459</v>
      </c>
      <c r="K20" s="32" t="n">
        <f aca="false">D20*299*0.4423+E20*349*0.4316+F20*279*0.1264+G20*399*0.0316</f>
        <v>65736.7331</v>
      </c>
      <c r="L20" s="32" t="n">
        <f aca="false">D20*68.37+E20*20.33+F20*83.35+G20*154.62+H20*225.36</f>
        <v>41777.9</v>
      </c>
      <c r="M20" s="7" t="n">
        <f aca="false">IFERROR(L20/J20,0)</f>
        <v>0.224059444703661</v>
      </c>
      <c r="N20" s="32" t="n">
        <f aca="false">N19+L20</f>
        <v>2155400.3</v>
      </c>
      <c r="O20" s="33" t="n">
        <f aca="false">N20-700000</f>
        <v>1455400.3</v>
      </c>
    </row>
    <row r="21" customFormat="false" ht="15" hidden="false" customHeight="true" outlineLevel="0" collapsed="false">
      <c r="A21" s="5" t="s">
        <v>97</v>
      </c>
      <c r="B21" s="37" t="s">
        <v>98</v>
      </c>
      <c r="C21" s="38" t="n">
        <f aca="false">ROUND($C$5*0.1756,0)</f>
        <v>572</v>
      </c>
      <c r="D21" s="30" t="n">
        <f aca="false">ROUND(C21*0.6,0)</f>
        <v>343</v>
      </c>
      <c r="E21" s="30" t="n">
        <f aca="false">ROUND(C21*0.22,0)</f>
        <v>126</v>
      </c>
      <c r="F21" s="30" t="n">
        <f aca="false">ROUND(C21*0.02,0)</f>
        <v>11</v>
      </c>
      <c r="G21" s="30" t="n">
        <f aca="false">ROUND(C21*0.14,0)</f>
        <v>80</v>
      </c>
      <c r="H21" s="30" t="n">
        <f aca="false">ROUND(C21*0.02,0)</f>
        <v>11</v>
      </c>
      <c r="I21" s="31" t="n">
        <v>0</v>
      </c>
      <c r="J21" s="32" t="n">
        <f aca="false">D21*299+E21*349+F21*279+G21*399+H21*449+I21*0</f>
        <v>186459</v>
      </c>
      <c r="K21" s="32" t="n">
        <f aca="false">D21*299*0.4423+E21*349*0.4316+F21*279*0.1264+G21*399*0.0316</f>
        <v>65736.7331</v>
      </c>
      <c r="L21" s="32" t="n">
        <f aca="false">D21*68.37+E21*20.33+F21*83.35+G21*154.62+H21*225.36</f>
        <v>41777.9</v>
      </c>
      <c r="M21" s="7" t="n">
        <f aca="false">IFERROR(L21/J21,0)</f>
        <v>0.224059444703661</v>
      </c>
      <c r="N21" s="32" t="n">
        <f aca="false">N20+L21</f>
        <v>2197178.2</v>
      </c>
      <c r="O21" s="33" t="n">
        <f aca="false">N21-700000</f>
        <v>1497178.2</v>
      </c>
    </row>
    <row r="22" customFormat="false" ht="15" hidden="false" customHeight="true" outlineLevel="0" collapsed="false">
      <c r="A22" s="5" t="s">
        <v>99</v>
      </c>
      <c r="B22" s="37" t="s">
        <v>100</v>
      </c>
      <c r="C22" s="38" t="n">
        <f aca="false">ROUND($C$5*0.1508,0)</f>
        <v>491</v>
      </c>
      <c r="D22" s="30" t="n">
        <f aca="false">ROUND(C22*0.6,0)</f>
        <v>295</v>
      </c>
      <c r="E22" s="30" t="n">
        <f aca="false">ROUND(C22*0.22,0)</f>
        <v>108</v>
      </c>
      <c r="F22" s="30" t="n">
        <f aca="false">ROUND(C22*0.02,0)</f>
        <v>10</v>
      </c>
      <c r="G22" s="30" t="n">
        <f aca="false">ROUND(C22*0.14,0)</f>
        <v>69</v>
      </c>
      <c r="H22" s="30" t="n">
        <f aca="false">ROUND(C22*0.02,0)</f>
        <v>10</v>
      </c>
      <c r="I22" s="31" t="n">
        <v>0</v>
      </c>
      <c r="J22" s="32" t="n">
        <f aca="false">D22*299+E22*349+F22*279+G22*399+H22*449+I22*0</f>
        <v>160708</v>
      </c>
      <c r="K22" s="32" t="n">
        <f aca="false">D22*299*0.4423+E22*349*0.4316+F22*279*0.1264+G22*399*0.0316</f>
        <v>56503.5743</v>
      </c>
      <c r="L22" s="32" t="n">
        <f aca="false">D22*68.37+E22*20.33+F22*83.35+G22*154.62+H22*225.36</f>
        <v>36120.67</v>
      </c>
      <c r="M22" s="7" t="n">
        <f aca="false">IFERROR(L22/J22,0)</f>
        <v>0.224759626154267</v>
      </c>
      <c r="N22" s="32" t="n">
        <f aca="false">N21+L22</f>
        <v>2233298.87</v>
      </c>
      <c r="O22" s="33" t="n">
        <f aca="false">N22-700000</f>
        <v>1533298.87</v>
      </c>
    </row>
    <row r="23" customFormat="false" ht="15" hidden="false" customHeight="true" outlineLevel="0" collapsed="false">
      <c r="A23" s="5" t="s">
        <v>101</v>
      </c>
      <c r="B23" s="37" t="s">
        <v>102</v>
      </c>
      <c r="C23" s="38" t="n">
        <f aca="false">ROUND($C$5*0.1508,0)</f>
        <v>491</v>
      </c>
      <c r="D23" s="30" t="n">
        <f aca="false">ROUND(C23*0.6,0)</f>
        <v>295</v>
      </c>
      <c r="E23" s="30" t="n">
        <f aca="false">ROUND(C23*0.22,0)</f>
        <v>108</v>
      </c>
      <c r="F23" s="30" t="n">
        <f aca="false">ROUND(C23*0.02,0)</f>
        <v>10</v>
      </c>
      <c r="G23" s="30" t="n">
        <f aca="false">ROUND(C23*0.14,0)</f>
        <v>69</v>
      </c>
      <c r="H23" s="30" t="n">
        <f aca="false">ROUND(C23*0.02,0)</f>
        <v>10</v>
      </c>
      <c r="I23" s="31" t="n">
        <v>0</v>
      </c>
      <c r="J23" s="32" t="n">
        <f aca="false">D23*299+E23*349+F23*279+G23*399+H23*449+I23*0</f>
        <v>160708</v>
      </c>
      <c r="K23" s="32" t="n">
        <f aca="false">D23*299*0.4423+E23*349*0.4316+F23*279*0.1264+G23*399*0.0316</f>
        <v>56503.5743</v>
      </c>
      <c r="L23" s="32" t="n">
        <f aca="false">D23*68.37+E23*20.33+F23*83.35+G23*154.62+H23*225.36</f>
        <v>36120.67</v>
      </c>
      <c r="M23" s="7" t="n">
        <f aca="false">IFERROR(L23/J23,0)</f>
        <v>0.224759626154267</v>
      </c>
      <c r="N23" s="32" t="n">
        <f aca="false">N22+L23</f>
        <v>2269419.54</v>
      </c>
      <c r="O23" s="33" t="n">
        <f aca="false">N23-700000</f>
        <v>1569419.54</v>
      </c>
    </row>
    <row r="24" customFormat="false" ht="15" hidden="false" customHeight="true" outlineLevel="0" collapsed="false">
      <c r="A24" s="5" t="s">
        <v>103</v>
      </c>
      <c r="B24" s="37" t="s">
        <v>104</v>
      </c>
      <c r="C24" s="38" t="n">
        <f aca="false">ROUND($C$5*0.1256,0)</f>
        <v>409</v>
      </c>
      <c r="D24" s="30" t="n">
        <f aca="false">ROUND(C24*0.6,0)</f>
        <v>245</v>
      </c>
      <c r="E24" s="30" t="n">
        <f aca="false">ROUND(C24*0.22,0)</f>
        <v>90</v>
      </c>
      <c r="F24" s="30" t="n">
        <f aca="false">ROUND(C24*0.02,0)</f>
        <v>8</v>
      </c>
      <c r="G24" s="30" t="n">
        <f aca="false">ROUND(C24*0.14,0)</f>
        <v>57</v>
      </c>
      <c r="H24" s="30" t="n">
        <f aca="false">ROUND(C24*0.02,0)</f>
        <v>8</v>
      </c>
      <c r="I24" s="31" t="n">
        <v>0</v>
      </c>
      <c r="J24" s="32" t="n">
        <f aca="false">D24*299+E24*349+F24*279+G24*399+H24*449+I24*0</f>
        <v>133232</v>
      </c>
      <c r="K24" s="32" t="n">
        <f aca="false">D24*299*0.4423+E24*349*0.4316+F24*279*0.1264+G24*399*0.0316</f>
        <v>46958.0461</v>
      </c>
      <c r="L24" s="32" t="n">
        <f aca="false">D24*68.37+E24*20.33+F24*83.35+G24*154.62+H24*225.36</f>
        <v>29863.37</v>
      </c>
      <c r="M24" s="7" t="n">
        <f aca="false">IFERROR(L24/J24,0)</f>
        <v>0.224145625675513</v>
      </c>
      <c r="N24" s="32" t="n">
        <f aca="false">N23+L24</f>
        <v>2299282.91</v>
      </c>
      <c r="O24" s="33" t="n">
        <f aca="false">N24-700000</f>
        <v>1599282.91</v>
      </c>
    </row>
    <row r="25" customFormat="false" ht="15" hidden="false" customHeight="true" outlineLevel="0" collapsed="false">
      <c r="A25" s="5" t="s">
        <v>105</v>
      </c>
      <c r="B25" s="37" t="s">
        <v>106</v>
      </c>
      <c r="C25" s="38" t="n">
        <f aca="false">ROUND($C$5*0.1,0)</f>
        <v>326</v>
      </c>
      <c r="D25" s="30" t="n">
        <f aca="false">ROUND(C25*0.6,0)</f>
        <v>196</v>
      </c>
      <c r="E25" s="30" t="n">
        <f aca="false">ROUND(C25*0.22,0)</f>
        <v>72</v>
      </c>
      <c r="F25" s="30" t="n">
        <f aca="false">ROUND(C25*0.02,0)</f>
        <v>7</v>
      </c>
      <c r="G25" s="30" t="n">
        <f aca="false">ROUND(C25*0.14,0)</f>
        <v>46</v>
      </c>
      <c r="H25" s="30" t="n">
        <f aca="false">ROUND(C25*0.02,0)</f>
        <v>7</v>
      </c>
      <c r="I25" s="31" t="n">
        <v>0</v>
      </c>
      <c r="J25" s="32" t="n">
        <f aca="false">D25*299+E25*349+F25*279+G25*399+H25*449+I25*0</f>
        <v>107182</v>
      </c>
      <c r="K25" s="32" t="n">
        <f aca="false">D25*299*0.4423+E25*349*0.4316+F25*279*0.1264+G25*399*0.0316</f>
        <v>37592.6396</v>
      </c>
      <c r="L25" s="32" t="n">
        <f aca="false">D25*68.37+E25*20.33+F25*83.35+G25*154.62+H25*225.36</f>
        <v>24137.77</v>
      </c>
      <c r="M25" s="7" t="n">
        <f aca="false">IFERROR(L25/J25,0)</f>
        <v>0.225203578959154</v>
      </c>
      <c r="N25" s="32" t="n">
        <f aca="false">N24+L25</f>
        <v>2323420.68</v>
      </c>
      <c r="O25" s="33" t="n">
        <f aca="false">N25-700000</f>
        <v>1623420.68</v>
      </c>
    </row>
    <row r="26" customFormat="false" ht="15" hidden="false" customHeight="true" outlineLevel="0" collapsed="false">
      <c r="A26" s="5" t="s">
        <v>107</v>
      </c>
      <c r="B26" s="37" t="s">
        <v>108</v>
      </c>
      <c r="C26" s="38" t="n">
        <f aca="false">ROUND($C$5*0.1,0)</f>
        <v>326</v>
      </c>
      <c r="D26" s="30" t="n">
        <f aca="false">ROUND(C26*0.6,0)</f>
        <v>196</v>
      </c>
      <c r="E26" s="30" t="n">
        <f aca="false">ROUND(C26*0.22,0)</f>
        <v>72</v>
      </c>
      <c r="F26" s="30" t="n">
        <f aca="false">ROUND(C26*0.02,0)</f>
        <v>7</v>
      </c>
      <c r="G26" s="30" t="n">
        <f aca="false">ROUND(C26*0.14,0)</f>
        <v>46</v>
      </c>
      <c r="H26" s="30" t="n">
        <f aca="false">ROUND(C26*0.02,0)</f>
        <v>7</v>
      </c>
      <c r="I26" s="31" t="n">
        <v>0</v>
      </c>
      <c r="J26" s="32" t="n">
        <f aca="false">D26*299+E26*349+F26*279+G26*399+H26*449+I26*0</f>
        <v>107182</v>
      </c>
      <c r="K26" s="32" t="n">
        <f aca="false">D26*299*0.4423+E26*349*0.4316+F26*279*0.1264+G26*399*0.0316</f>
        <v>37592.6396</v>
      </c>
      <c r="L26" s="32" t="n">
        <f aca="false">D26*68.37+E26*20.33+F26*83.35+G26*154.62+H26*225.36</f>
        <v>24137.77</v>
      </c>
      <c r="M26" s="7" t="n">
        <f aca="false">IFERROR(L26/J26,0)</f>
        <v>0.225203578959154</v>
      </c>
      <c r="N26" s="32" t="n">
        <f aca="false">N25+L26</f>
        <v>2347558.45</v>
      </c>
      <c r="O26" s="33" t="n">
        <f aca="false">N26-700000</f>
        <v>1647558.45</v>
      </c>
    </row>
    <row r="27" customFormat="false" ht="15" hidden="false" customHeight="true" outlineLevel="0" collapsed="false">
      <c r="A27" s="5" t="s">
        <v>109</v>
      </c>
      <c r="B27" s="37" t="s">
        <v>110</v>
      </c>
      <c r="C27" s="38" t="n">
        <f aca="false">ROUND($C$5*0.0756,0)</f>
        <v>246</v>
      </c>
      <c r="D27" s="30" t="n">
        <f aca="false">ROUND(C27*0.6,0)</f>
        <v>148</v>
      </c>
      <c r="E27" s="30" t="n">
        <f aca="false">ROUND(C27*0.22,0)</f>
        <v>54</v>
      </c>
      <c r="F27" s="30" t="n">
        <f aca="false">ROUND(C27*0.02,0)</f>
        <v>5</v>
      </c>
      <c r="G27" s="30" t="n">
        <f aca="false">ROUND(C27*0.14,0)</f>
        <v>34</v>
      </c>
      <c r="H27" s="30" t="n">
        <f aca="false">ROUND(C27*0.02,0)</f>
        <v>5</v>
      </c>
      <c r="I27" s="31" t="n">
        <v>0</v>
      </c>
      <c r="J27" s="32" t="n">
        <f aca="false">D27*299+E27*349+F27*279+G27*399+H27*449+I27*0</f>
        <v>80304</v>
      </c>
      <c r="K27" s="32" t="n">
        <f aca="false">D27*299*0.4423+E27*349*0.4316+F27*279*0.1264+G27*399*0.0316</f>
        <v>28311.6068</v>
      </c>
      <c r="L27" s="32" t="n">
        <f aca="false">D27*68.37+E27*20.33+F27*83.35+G27*154.62+H27*225.36</f>
        <v>18017.21</v>
      </c>
      <c r="M27" s="7" t="n">
        <f aca="false">IFERROR(L27/J27,0)</f>
        <v>0.224362547320183</v>
      </c>
      <c r="N27" s="32" t="n">
        <f aca="false">N26+L27</f>
        <v>2365575.66</v>
      </c>
      <c r="O27" s="33" t="n">
        <f aca="false">N27-700000</f>
        <v>1665575.66</v>
      </c>
    </row>
    <row r="28" customFormat="false" ht="15" hidden="false" customHeight="true" outlineLevel="0" collapsed="false">
      <c r="A28" s="5" t="s">
        <v>111</v>
      </c>
      <c r="B28" s="37" t="s">
        <v>112</v>
      </c>
      <c r="C28" s="38" t="n">
        <f aca="false">ROUND($C$5*0.0756,0)</f>
        <v>246</v>
      </c>
      <c r="D28" s="30" t="n">
        <f aca="false">ROUND(C28*0.6,0)</f>
        <v>148</v>
      </c>
      <c r="E28" s="30" t="n">
        <f aca="false">ROUND(C28*0.22,0)</f>
        <v>54</v>
      </c>
      <c r="F28" s="30" t="n">
        <f aca="false">ROUND(C28*0.02,0)</f>
        <v>5</v>
      </c>
      <c r="G28" s="30" t="n">
        <f aca="false">ROUND(C28*0.14,0)</f>
        <v>34</v>
      </c>
      <c r="H28" s="30" t="n">
        <f aca="false">ROUND(C28*0.02,0)</f>
        <v>5</v>
      </c>
      <c r="I28" s="31" t="n">
        <v>0</v>
      </c>
      <c r="J28" s="32" t="n">
        <f aca="false">D28*299+E28*349+F28*279+G28*399+H28*449+I28*0</f>
        <v>80304</v>
      </c>
      <c r="K28" s="32" t="n">
        <f aca="false">D28*299*0.4423+E28*349*0.4316+F28*279*0.1264+G28*399*0.0316</f>
        <v>28311.6068</v>
      </c>
      <c r="L28" s="32" t="n">
        <f aca="false">D28*68.37+E28*20.33+F28*83.35+G28*154.62+H28*225.36</f>
        <v>18017.21</v>
      </c>
      <c r="M28" s="7" t="n">
        <f aca="false">IFERROR(L28/J28,0)</f>
        <v>0.224362547320183</v>
      </c>
      <c r="N28" s="32" t="n">
        <f aca="false">N27+L28</f>
        <v>2383592.87</v>
      </c>
      <c r="O28" s="33" t="n">
        <f aca="false">N28-700000</f>
        <v>1683592.87</v>
      </c>
    </row>
    <row r="29" customFormat="false" ht="15" hidden="false" customHeight="true" outlineLevel="0" collapsed="false">
      <c r="A29" s="5" t="s">
        <v>113</v>
      </c>
      <c r="B29" s="37" t="s">
        <v>114</v>
      </c>
      <c r="C29" s="38" t="n">
        <f aca="false">ROUND($C$5*0.0508,0)</f>
        <v>165</v>
      </c>
      <c r="D29" s="30" t="n">
        <f aca="false">ROUND(C29*0.6,0)</f>
        <v>99</v>
      </c>
      <c r="E29" s="30" t="n">
        <f aca="false">ROUND(C29*0.22,0)</f>
        <v>36</v>
      </c>
      <c r="F29" s="30" t="n">
        <f aca="false">ROUND(C29*0.02,0)</f>
        <v>3</v>
      </c>
      <c r="G29" s="30" t="n">
        <f aca="false">ROUND(C29*0.14,0)</f>
        <v>23</v>
      </c>
      <c r="H29" s="30" t="n">
        <f aca="false">ROUND(C29*0.02,0)</f>
        <v>3</v>
      </c>
      <c r="I29" s="31" t="n">
        <v>0</v>
      </c>
      <c r="J29" s="32" t="n">
        <f aca="false">D29*299+E29*349+F29*279+G29*399+H29*449+I29*0</f>
        <v>53526</v>
      </c>
      <c r="K29" s="32" t="n">
        <f aca="false">D29*299*0.4423+E29*349*0.4316+F29*279*0.1264+G29*399*0.0316</f>
        <v>18910.9347</v>
      </c>
      <c r="L29" s="32" t="n">
        <f aca="false">D29*68.37+E29*20.33+F29*83.35+G29*154.62+H29*225.36</f>
        <v>11982.9</v>
      </c>
      <c r="M29" s="7" t="n">
        <f aca="false">IFERROR(L29/J29,0)</f>
        <v>0.223870642304674</v>
      </c>
      <c r="N29" s="32" t="n">
        <f aca="false">N28+L29</f>
        <v>2395575.77</v>
      </c>
      <c r="O29" s="33" t="n">
        <f aca="false">N29-700000</f>
        <v>1695575.77</v>
      </c>
    </row>
  </sheetData>
  <mergeCells count="5">
    <mergeCell ref="A1:O1"/>
    <mergeCell ref="A2:O2"/>
    <mergeCell ref="A3:O3"/>
    <mergeCell ref="A5:B5"/>
    <mergeCell ref="D5:O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2026-05-20T11:27:30Z</dcterms:created>
  <dc:creator>openpyxl</dc:creator>
  <dc:description/>
  <dc:language>en-US</dc:language>
  <cp:lastModifiedBy/>
  <dcterms:modified xsi:type="dcterms:W3CDTF">2026-05-20T11:27:30Z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