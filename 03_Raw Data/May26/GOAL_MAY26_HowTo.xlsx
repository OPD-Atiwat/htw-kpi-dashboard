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AL MAY26" sheetId="1" state="visible" r:id="rId3"/>
    <sheet name="Channel ออฟฟิศฯ (สัตว์)" sheetId="2" state="visible" r:id="rId4"/>
    <sheet name="Workload MAY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<sst xmlns="http://schemas.openxmlformats.org/spreadsheetml/2006/main" count="197" uniqueCount="100">
  <si>
    <t xml:space="preserve">🎯  GOAL BY PRODUCT — MAY 2026  |  How-to Market  |  OpenDurian</t>
  </si>
  <si>
    <t xml:space="preserve">Target Online MAY26: ฿5,800,000  |  ออฟฟิศนี้เฮงซวย (สัตว์) เปิดตัว 15 พ.ค. 69 (17 วัน)  |  อ้างอิง BEP กับดัก M1 = 2,775 units</t>
  </si>
  <si>
    <t xml:space="preserve">#</t>
  </si>
  <si>
    <t xml:space="preserve">Contact</t>
  </si>
  <si>
    <t xml:space="preserve">กลุ่ม</t>
  </si>
  <si>
    <t xml:space="preserve">ชื่อย่อ</t>
  </si>
  <si>
    <t xml:space="preserve">ชื่อเต็ม</t>
  </si>
  <si>
    <t xml:space="preserve">Wkl%
MAY</t>
  </si>
  <si>
    <t xml:space="preserve">VDO</t>
  </si>
  <si>
    <t xml:space="preserve">IMG</t>
  </si>
  <si>
    <t xml:space="preserve">Total
Pcs</t>
  </si>
  <si>
    <t xml:space="preserve">🎯 Goal
Online MAY26</t>
  </si>
  <si>
    <t xml:space="preserve">Feb26
Actual</t>
  </si>
  <si>
    <t xml:space="preserve">Mar26
Actual</t>
  </si>
  <si>
    <t xml:space="preserve">Apr26
Actual</t>
  </si>
  <si>
    <t xml:space="preserve">Avg
Feb–Apr</t>
  </si>
  <si>
    <t xml:space="preserve">Goal vs
Avg%</t>
  </si>
  <si>
    <t xml:space="preserve">Consign
Goal</t>
  </si>
  <si>
    <t xml:space="preserve">Notes</t>
  </si>
  <si>
    <t xml:space="preserve">  🆕 NEW LAUNCH</t>
  </si>
  <si>
    <t xml:space="preserve">—</t>
  </si>
  <si>
    <t xml:space="preserve">🆕 NEW LAUNCH</t>
  </si>
  <si>
    <t xml:space="preserve">ออฟฟิศฯ (สัตว์)</t>
  </si>
  <si>
    <t xml:space="preserve">ออฟฟิศนี้เฮงซวย (สัตว์)</t>
  </si>
  <si>
    <t xml:space="preserve">เปิดตัว 15 พ.ค. | Ref: BEP กับดัก M1 = 2,775 units</t>
  </si>
  <si>
    <t xml:space="preserve">  🎯 Focus</t>
  </si>
  <si>
    <t xml:space="preserve">Gam Pannathon</t>
  </si>
  <si>
    <t xml:space="preserve">🎯 Focus</t>
  </si>
  <si>
    <t xml:space="preserve">กับดัก</t>
  </si>
  <si>
    <t xml:space="preserve">กับดักความรู้สึกผิด</t>
  </si>
  <si>
    <t xml:space="preserve">ปีศาจ 1</t>
  </si>
  <si>
    <t xml:space="preserve">ปีศาจตัวนั้น คือฉันเอง 1</t>
  </si>
  <si>
    <t xml:space="preserve">ปีศาจ 2</t>
  </si>
  <si>
    <t xml:space="preserve">ปีศาจตัวนั้น คือฉันเอง 2</t>
  </si>
  <si>
    <t xml:space="preserve">Katt Jittranuch</t>
  </si>
  <si>
    <t xml:space="preserve">Ghostly Brews</t>
  </si>
  <si>
    <t xml:space="preserve">Ghostly Brews ยินดีบริการดวงวิญญาณหลังเที่ยงคืน</t>
  </si>
  <si>
    <t xml:space="preserve">Apr ↓ 23% achieve</t>
  </si>
  <si>
    <t xml:space="preserve">Witches' Club</t>
  </si>
  <si>
    <t xml:space="preserve">The Witches' Club ชมรมลับเปลี่ยนชีวิต</t>
  </si>
  <si>
    <t xml:space="preserve">Apr ↓ 31% achieve</t>
  </si>
  <si>
    <t xml:space="preserve">โอบกอด</t>
  </si>
  <si>
    <t xml:space="preserve">โอบกอดความไม่สมบูรณ์แบบของเธอ (Embrace Your Flaws)</t>
  </si>
  <si>
    <t xml:space="preserve">Ghostly Remains</t>
  </si>
  <si>
    <t xml:space="preserve">Ghostly Remains ปลดพันธนาการดวงวิญญาณหลังความตาย</t>
  </si>
  <si>
    <t xml:space="preserve">Apr ↓ 25% achieve</t>
  </si>
  <si>
    <t xml:space="preserve">  📚 Non-Focus</t>
  </si>
  <si>
    <t xml:space="preserve">📚 Non-Focus</t>
  </si>
  <si>
    <t xml:space="preserve">Enchanted Garden</t>
  </si>
  <si>
    <t xml:space="preserve">วันไหนที่ใจแข็งแรง ดอกไม้จะผลิบาน The Enchanted Garden</t>
  </si>
  <si>
    <t xml:space="preserve">ขอใช้ชีวิต</t>
  </si>
  <si>
    <t xml:space="preserve">ขอใช้ชีวิตที่เหลือ เพื่อตัวเองนะ</t>
  </si>
  <si>
    <t xml:space="preserve">คาปิบาร่า</t>
  </si>
  <si>
    <t xml:space="preserve">ถ้าโลกมันแย่ ก็แค่คิดแบบคาปิบาร่า Think Like a Happybara</t>
  </si>
  <si>
    <t xml:space="preserve">เงินล้าน</t>
  </si>
  <si>
    <t xml:space="preserve">ความลับสู่เงินล้านที่โรงเรียนไม่เคยสอน (The Millionaire's Top Secret)</t>
  </si>
  <si>
    <t xml:space="preserve">ฉันจะมีชีวิตที่ดี</t>
  </si>
  <si>
    <t xml:space="preserve">เหนื่อยมากไหม</t>
  </si>
  <si>
    <t xml:space="preserve">เหนื่อยมากไหม พักก่อนก็ได้นะวันนี้</t>
  </si>
  <si>
    <t xml:space="preserve">ปีศาจความรัก</t>
  </si>
  <si>
    <t xml:space="preserve">ปีศาจความรักมักเลือกฉันเป็นเหยื่อ</t>
  </si>
  <si>
    <t xml:space="preserve">Helmet Girl</t>
  </si>
  <si>
    <t xml:space="preserve">เมื่อโลกทั้งใบซ่อนอยู่ใต้หมวกกันน็อก (Helmet Girl)</t>
  </si>
  <si>
    <t xml:space="preserve">กว่าจะคิดได้</t>
  </si>
  <si>
    <t xml:space="preserve">กว่าจะคิดได้ ก็ไม่มีลมหายใจแล้ว</t>
  </si>
  <si>
    <t xml:space="preserve">ยินดีต้อนรับ</t>
  </si>
  <si>
    <t xml:space="preserve">ยินดีต้อนรับและขอบคุณที่กลับมา</t>
  </si>
  <si>
    <t xml:space="preserve">ชีวิตขอบคุณ</t>
  </si>
  <si>
    <t xml:space="preserve">ชีวิตมีเรื่องให้ขอบคุณมากกว่าเสียใจ</t>
  </si>
  <si>
    <t xml:space="preserve">ทุกความทรงจำ</t>
  </si>
  <si>
    <t xml:space="preserve">ทุกความทรงจำคือของขวัญจากวันวาน</t>
  </si>
  <si>
    <t xml:space="preserve">  ▶ Subtotal: NEW + Focus</t>
  </si>
  <si>
    <t xml:space="preserve">  ▶ Subtotal: Non-Focus</t>
  </si>
  <si>
    <t xml:space="preserve">  ✅ TOTAL BOTTOM-UP ONLINE GOAL MAY26</t>
  </si>
  <si>
    <t xml:space="preserve">  🎯 Target Online MAY26</t>
  </si>
  <si>
    <t xml:space="preserve">  📊 Gap (Bottom-Up vs Target)</t>
  </si>
  <si>
    <t xml:space="preserve">* Goal คำนวณจาก: เฉลี่ย Feb–Apr Actual  |  ออฟฟิศฯ อ้างอิง BEP กับดัก M1 = 2,775 units (฿840,205)  |  ยังไม่รวม Consignment  |  VDO/IMG = แนะนำ ไม่ใช่ confirmed plan</t>
  </si>
  <si>
    <t xml:space="preserve">Channel Breakdown — ออฟฟิศนี้เฮงซวย (สัตว์)  |  MAY 2026  |  15–31 พ.ค. (17 วัน)</t>
  </si>
  <si>
    <t xml:space="preserve">อ้างอิง: BEP กับดักความรู้สึกผิด Month 1  |  Total 2,775 units  |  Avg Price ฿303/unit</t>
  </si>
  <si>
    <t xml:space="preserve">ช่องทาง</t>
  </si>
  <si>
    <t xml:space="preserve">ราคาขาย (฿)</t>
  </si>
  <si>
    <t xml:space="preserve">จำนวน (units)</t>
  </si>
  <si>
    <t xml:space="preserve">ยอดขาย (฿)</t>
  </si>
  <si>
    <t xml:space="preserve">% สัดส่วน</t>
  </si>
  <si>
    <t xml:space="preserve">MKT Cost %</t>
  </si>
  <si>
    <t xml:space="preserve">Net Revenue (฿)</t>
  </si>
  <si>
    <t xml:space="preserve">TikTok Shop</t>
  </si>
  <si>
    <t xml:space="preserve">TikTok Affiliate (Channel Group)</t>
  </si>
  <si>
    <t xml:space="preserve">Shopee</t>
  </si>
  <si>
    <t xml:space="preserve">TikTok Live</t>
  </si>
  <si>
    <t xml:space="preserve">TOTAL</t>
  </si>
  <si>
    <t xml:space="preserve">Avg Price per unit = ฿840,205 ÷ 2,775 units = ฿302.9 / unit  |  17 วัน  |  ไม่มี Consignment ในเดือนแรก</t>
  </si>
  <si>
    <t xml:space="preserve">Workload Allocation — MAY 2026  |  Content Team: มิ้น / หมิว / ริว</t>
  </si>
  <si>
    <t xml:space="preserve">Product</t>
  </si>
  <si>
    <t xml:space="preserve">Workload%</t>
  </si>
  <si>
    <t xml:space="preserve">Total Pieces</t>
  </si>
  <si>
    <t xml:space="preserve">VDO %</t>
  </si>
  <si>
    <t xml:space="preserve">Priority Note</t>
  </si>
  <si>
    <t xml:space="preserve">🔥 MAX priority — 3-month launch peak</t>
  </si>
  <si>
    <t xml:space="preserve">✅ Focus — maintain workload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</si>
</sst>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8B4513"/>
      <name val="Arial"/>
      <family val="0"/>
      <charset val="1"/>
    </font>
    <font>
      <sz val="9"/>
      <color rgb="FF8B4513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8860B"/>
        <bgColor rgb="FFFF9900"/>
      </patternFill>
    </fill>
    <fill>
      <patternFill patternType="solid">
        <fgColor rgb="FFFFF2CC"/>
        <bgColor rgb="FFFCE4D6"/>
      </patternFill>
    </fill>
    <fill>
      <patternFill patternType="solid">
        <fgColor rgb="FFDDEEFF"/>
        <bgColor rgb="FFE8F4E8"/>
      </patternFill>
    </fill>
    <fill>
      <patternFill patternType="solid">
        <fgColor rgb="FFD9E1F2"/>
        <bgColor rgb="FFDDEEFF"/>
      </patternFill>
    </fill>
    <fill>
      <patternFill patternType="solid">
        <fgColor rgb="FFE2EFDA"/>
        <bgColor rgb="FFE8F4E8"/>
      </patternFill>
    </fill>
    <fill>
      <patternFill patternType="solid">
        <fgColor rgb="FFBDD7EE"/>
        <bgColor rgb="FFD9E1F2"/>
      </patternFill>
    </fill>
    <fill>
      <patternFill patternType="solid">
        <fgColor rgb="FFFFE6E6"/>
        <bgColor rgb="FFFCE4D6"/>
      </patternFill>
    </fill>
    <fill>
      <patternFill patternType="solid">
        <fgColor rgb="FFE8F4E8"/>
        <bgColor rgb="FFE2EFDA"/>
      </patternFill>
    </fill>
    <fill>
      <patternFill patternType="solid">
        <fgColor rgb="FFFCE4D6"/>
        <bgColor rgb="FFFF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B8860B"/>
      <rgbColor rgb="FF800080"/>
      <rgbColor rgb="FF008080"/>
      <rgbColor rgb="FFBBBBBB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8"/>
      <rgbColor rgb="FFE2EFDA"/>
      <rgbColor rgb="FFFFE6E6"/>
      <rgbColor rgb="FFD9E1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9" min="7" style="0" width="7"/>
    <col collapsed="false" customWidth="true" hidden="false" outlineLevel="0" max="10" min="10" style="0" width="14"/>
    <col collapsed="false" customWidth="true" hidden="false" outlineLevel="0" max="14" min="11" style="0" width="13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5" hidden="false" customHeight="true" outlineLevel="0" collapsed="false">
      <c r="A4" s="4" t="s">
        <v>19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9.5" hidden="false" customHeight="true" outlineLevel="0" collapsed="false">
      <c r="A5" s="5" t="n">
        <v>1</v>
      </c>
      <c r="B5" s="6" t="s">
        <v>20</v>
      </c>
      <c r="C5" s="6" t="s">
        <v>21</v>
      </c>
      <c r="D5" s="7" t="s">
        <v>22</v>
      </c>
      <c r="E5" s="8" t="s">
        <v>23</v>
      </c>
      <c r="F5" s="9" t="n">
        <v>0.38</v>
      </c>
      <c r="G5" s="5" t="n">
        <v>20</v>
      </c>
      <c r="H5" s="5" t="n">
        <v>8</v>
      </c>
      <c r="I5" s="5" t="n">
        <v>28</v>
      </c>
      <c r="J5" s="10" t="n">
        <v>840000</v>
      </c>
      <c r="K5" s="11"/>
      <c r="L5" s="11"/>
      <c r="M5" s="11"/>
      <c r="N5" s="11"/>
      <c r="O5" s="12" t="str">
        <f aca="false">IF(N5=0,"N/A",J5/N5-1)</f>
        <v>N/A</v>
      </c>
      <c r="P5" s="11" t="n">
        <v>0</v>
      </c>
      <c r="Q5" s="8" t="s">
        <v>24</v>
      </c>
    </row>
    <row r="6" customFormat="false" ht="15" hidden="false" customHeight="true" outlineLevel="0" collapsed="false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customFormat="false" ht="19.5" hidden="false" customHeight="true" outlineLevel="0" collapsed="false">
      <c r="A7" s="14" t="n">
        <v>2</v>
      </c>
      <c r="B7" s="15" t="s">
        <v>26</v>
      </c>
      <c r="C7" s="15" t="s">
        <v>27</v>
      </c>
      <c r="D7" s="16" t="s">
        <v>28</v>
      </c>
      <c r="E7" s="17" t="s">
        <v>29</v>
      </c>
      <c r="F7" s="18" t="n">
        <v>0.22</v>
      </c>
      <c r="G7" s="14" t="n">
        <v>12</v>
      </c>
      <c r="H7" s="14" t="n">
        <v>6</v>
      </c>
      <c r="I7" s="14" t="n">
        <v>18</v>
      </c>
      <c r="J7" s="19" t="n">
        <v>1503569</v>
      </c>
      <c r="K7" s="20" t="n">
        <v>1558137</v>
      </c>
      <c r="L7" s="20" t="n">
        <v>1849660</v>
      </c>
      <c r="M7" s="20" t="n">
        <v>1102910</v>
      </c>
      <c r="N7" s="20" t="n">
        <v>1503569</v>
      </c>
      <c r="O7" s="21" t="n">
        <f aca="false">IF(N7=0,"N/A",J7/N7-1)</f>
        <v>0</v>
      </c>
      <c r="P7" s="20" t="n">
        <v>0</v>
      </c>
      <c r="Q7" s="17"/>
    </row>
    <row r="8" customFormat="false" ht="19.5" hidden="false" customHeight="true" outlineLevel="0" collapsed="false">
      <c r="A8" s="14" t="n">
        <v>3</v>
      </c>
      <c r="B8" s="15" t="s">
        <v>26</v>
      </c>
      <c r="C8" s="15" t="s">
        <v>27</v>
      </c>
      <c r="D8" s="16" t="s">
        <v>30</v>
      </c>
      <c r="E8" s="17" t="s">
        <v>31</v>
      </c>
      <c r="F8" s="18" t="n">
        <v>0.07</v>
      </c>
      <c r="G8" s="14" t="n">
        <v>5</v>
      </c>
      <c r="H8" s="14" t="n">
        <v>3</v>
      </c>
      <c r="I8" s="14" t="n">
        <v>8</v>
      </c>
      <c r="J8" s="19" t="n">
        <v>755333</v>
      </c>
      <c r="K8" s="20" t="n">
        <v>894253</v>
      </c>
      <c r="L8" s="20" t="n">
        <v>883752</v>
      </c>
      <c r="M8" s="20" t="n">
        <v>487996</v>
      </c>
      <c r="N8" s="20" t="n">
        <v>755333</v>
      </c>
      <c r="O8" s="21" t="n">
        <f aca="false">IF(N8=0,"N/A",J8/N8-1)</f>
        <v>0</v>
      </c>
      <c r="P8" s="20" t="n">
        <v>0</v>
      </c>
      <c r="Q8" s="17"/>
    </row>
    <row r="9" customFormat="false" ht="19.5" hidden="false" customHeight="true" outlineLevel="0" collapsed="false">
      <c r="A9" s="14" t="n">
        <v>4</v>
      </c>
      <c r="B9" s="15" t="s">
        <v>26</v>
      </c>
      <c r="C9" s="15" t="s">
        <v>27</v>
      </c>
      <c r="D9" s="16" t="s">
        <v>32</v>
      </c>
      <c r="E9" s="17" t="s">
        <v>33</v>
      </c>
      <c r="F9" s="18" t="n">
        <v>0.04</v>
      </c>
      <c r="G9" s="14" t="n">
        <v>3</v>
      </c>
      <c r="H9" s="14" t="n">
        <v>1</v>
      </c>
      <c r="I9" s="14" t="n">
        <v>4</v>
      </c>
      <c r="J9" s="19" t="n">
        <v>263459</v>
      </c>
      <c r="K9" s="20" t="n">
        <v>369858</v>
      </c>
      <c r="L9" s="20" t="n">
        <v>268733</v>
      </c>
      <c r="M9" s="20" t="n">
        <v>151788</v>
      </c>
      <c r="N9" s="20" t="n">
        <v>263459</v>
      </c>
      <c r="O9" s="21" t="n">
        <f aca="false">IF(N9=0,"N/A",J9/N9-1)</f>
        <v>0</v>
      </c>
      <c r="P9" s="20" t="n">
        <v>0</v>
      </c>
      <c r="Q9" s="17"/>
    </row>
    <row r="10" customFormat="false" ht="19.5" hidden="false" customHeight="true" outlineLevel="0" collapsed="false">
      <c r="A10" s="14" t="n">
        <v>5</v>
      </c>
      <c r="B10" s="15" t="s">
        <v>34</v>
      </c>
      <c r="C10" s="15" t="s">
        <v>27</v>
      </c>
      <c r="D10" s="16" t="s">
        <v>35</v>
      </c>
      <c r="E10" s="17" t="s">
        <v>36</v>
      </c>
      <c r="F10" s="18" t="n">
        <v>0.1</v>
      </c>
      <c r="G10" s="14" t="n">
        <v>7</v>
      </c>
      <c r="H10" s="14" t="n">
        <v>3</v>
      </c>
      <c r="I10" s="14" t="n">
        <v>10</v>
      </c>
      <c r="J10" s="19" t="n">
        <v>196561</v>
      </c>
      <c r="K10" s="20" t="n">
        <v>261753</v>
      </c>
      <c r="L10" s="20" t="n">
        <v>177224</v>
      </c>
      <c r="M10" s="20" t="n">
        <v>150708</v>
      </c>
      <c r="N10" s="20" t="n">
        <v>196561</v>
      </c>
      <c r="O10" s="21" t="n">
        <f aca="false">IF(N10=0,"N/A",J10/N10-1)</f>
        <v>0</v>
      </c>
      <c r="P10" s="20" t="n">
        <v>0</v>
      </c>
      <c r="Q10" s="17" t="s">
        <v>37</v>
      </c>
    </row>
    <row r="11" customFormat="false" ht="19.5" hidden="false" customHeight="true" outlineLevel="0" collapsed="false">
      <c r="A11" s="14" t="n">
        <v>6</v>
      </c>
      <c r="B11" s="15" t="s">
        <v>34</v>
      </c>
      <c r="C11" s="15" t="s">
        <v>27</v>
      </c>
      <c r="D11" s="16" t="s">
        <v>38</v>
      </c>
      <c r="E11" s="17" t="s">
        <v>39</v>
      </c>
      <c r="F11" s="18" t="n">
        <v>0.07</v>
      </c>
      <c r="G11" s="14" t="n">
        <v>5</v>
      </c>
      <c r="H11" s="14" t="n">
        <v>2</v>
      </c>
      <c r="I11" s="14" t="n">
        <v>7</v>
      </c>
      <c r="J11" s="19" t="n">
        <v>249840</v>
      </c>
      <c r="K11" s="20" t="n">
        <v>357984</v>
      </c>
      <c r="L11" s="20" t="n">
        <v>256487</v>
      </c>
      <c r="M11" s="20" t="n">
        <v>135050</v>
      </c>
      <c r="N11" s="20" t="n">
        <v>249840</v>
      </c>
      <c r="O11" s="21" t="n">
        <f aca="false">IF(N11=0,"N/A",J11/N11-1)</f>
        <v>0</v>
      </c>
      <c r="P11" s="20" t="n">
        <v>0</v>
      </c>
      <c r="Q11" s="17" t="s">
        <v>40</v>
      </c>
    </row>
    <row r="12" customFormat="false" ht="19.5" hidden="false" customHeight="true" outlineLevel="0" collapsed="false">
      <c r="A12" s="14" t="n">
        <v>7</v>
      </c>
      <c r="B12" s="15" t="s">
        <v>34</v>
      </c>
      <c r="C12" s="15" t="s">
        <v>27</v>
      </c>
      <c r="D12" s="16" t="s">
        <v>41</v>
      </c>
      <c r="E12" s="17" t="s">
        <v>42</v>
      </c>
      <c r="F12" s="18" t="n">
        <v>0.02</v>
      </c>
      <c r="G12" s="14" t="n">
        <v>2</v>
      </c>
      <c r="H12" s="14" t="n">
        <v>1</v>
      </c>
      <c r="I12" s="14" t="n">
        <v>3</v>
      </c>
      <c r="J12" s="19" t="n">
        <v>182483</v>
      </c>
      <c r="K12" s="20" t="n">
        <v>192977</v>
      </c>
      <c r="L12" s="20" t="n">
        <v>278186</v>
      </c>
      <c r="M12" s="20" t="n">
        <v>76286</v>
      </c>
      <c r="N12" s="20" t="n">
        <v>182483</v>
      </c>
      <c r="O12" s="21" t="n">
        <f aca="false">IF(N12=0,"N/A",J12/N12-1)</f>
        <v>0</v>
      </c>
      <c r="P12" s="20" t="n">
        <v>0</v>
      </c>
      <c r="Q12" s="17"/>
    </row>
    <row r="13" customFormat="false" ht="19.5" hidden="false" customHeight="true" outlineLevel="0" collapsed="false">
      <c r="A13" s="14" t="n">
        <v>8</v>
      </c>
      <c r="B13" s="15" t="s">
        <v>34</v>
      </c>
      <c r="C13" s="15" t="s">
        <v>27</v>
      </c>
      <c r="D13" s="16" t="s">
        <v>43</v>
      </c>
      <c r="E13" s="17" t="s">
        <v>44</v>
      </c>
      <c r="F13" s="18" t="n">
        <v>0.07</v>
      </c>
      <c r="G13" s="14" t="n">
        <v>4</v>
      </c>
      <c r="H13" s="14" t="n">
        <v>2</v>
      </c>
      <c r="I13" s="14" t="n">
        <v>6</v>
      </c>
      <c r="J13" s="19" t="n">
        <v>90045</v>
      </c>
      <c r="K13" s="20" t="n">
        <v>123848</v>
      </c>
      <c r="L13" s="20" t="n">
        <v>83893</v>
      </c>
      <c r="M13" s="20" t="n">
        <v>62396</v>
      </c>
      <c r="N13" s="20" t="n">
        <v>90045</v>
      </c>
      <c r="O13" s="21" t="n">
        <f aca="false">IF(N13=0,"N/A",J13/N13-1)</f>
        <v>0</v>
      </c>
      <c r="P13" s="20" t="n">
        <v>0</v>
      </c>
      <c r="Q13" s="17" t="s">
        <v>45</v>
      </c>
    </row>
    <row r="14" customFormat="false" ht="15" hidden="false" customHeight="true" outlineLevel="0" collapsed="false">
      <c r="A14" s="13" t="s">
        <v>46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customFormat="false" ht="19.5" hidden="false" customHeight="true" outlineLevel="0" collapsed="false">
      <c r="A15" s="14" t="n">
        <v>9</v>
      </c>
      <c r="B15" s="15" t="s">
        <v>20</v>
      </c>
      <c r="C15" s="15" t="s">
        <v>47</v>
      </c>
      <c r="D15" s="16" t="s">
        <v>48</v>
      </c>
      <c r="E15" s="17" t="s">
        <v>49</v>
      </c>
      <c r="F15" s="18" t="n">
        <v>0.008</v>
      </c>
      <c r="G15" s="14" t="n">
        <v>1</v>
      </c>
      <c r="H15" s="14" t="n">
        <v>1</v>
      </c>
      <c r="I15" s="14" t="n">
        <v>2</v>
      </c>
      <c r="J15" s="19" t="n">
        <v>85509</v>
      </c>
      <c r="K15" s="20" t="n">
        <v>125488</v>
      </c>
      <c r="L15" s="20" t="n">
        <v>67939</v>
      </c>
      <c r="M15" s="20" t="n">
        <v>63102</v>
      </c>
      <c r="N15" s="20" t="n">
        <v>85509</v>
      </c>
      <c r="O15" s="21" t="n">
        <f aca="false">IF(N15=0,"N/A",J15/N15-1)</f>
        <v>0</v>
      </c>
      <c r="P15" s="20" t="n">
        <v>0</v>
      </c>
      <c r="Q15" s="17"/>
    </row>
    <row r="16" customFormat="false" ht="19.5" hidden="false" customHeight="true" outlineLevel="0" collapsed="false">
      <c r="A16" s="14" t="n">
        <v>10</v>
      </c>
      <c r="B16" s="15" t="s">
        <v>20</v>
      </c>
      <c r="C16" s="15" t="s">
        <v>47</v>
      </c>
      <c r="D16" s="16" t="s">
        <v>50</v>
      </c>
      <c r="E16" s="17" t="s">
        <v>51</v>
      </c>
      <c r="F16" s="18" t="n">
        <v>0.008</v>
      </c>
      <c r="G16" s="14" t="n">
        <v>1</v>
      </c>
      <c r="H16" s="14" t="n">
        <v>1</v>
      </c>
      <c r="I16" s="14" t="n">
        <v>2</v>
      </c>
      <c r="J16" s="19" t="n">
        <v>77692</v>
      </c>
      <c r="K16" s="20" t="n">
        <v>99908</v>
      </c>
      <c r="L16" s="20" t="n">
        <v>71068</v>
      </c>
      <c r="M16" s="20" t="n">
        <v>62101</v>
      </c>
      <c r="N16" s="20" t="n">
        <v>77692</v>
      </c>
      <c r="O16" s="21" t="n">
        <f aca="false">IF(N16=0,"N/A",J16/N16-1)</f>
        <v>0</v>
      </c>
      <c r="P16" s="20" t="n">
        <v>0</v>
      </c>
      <c r="Q16" s="17"/>
    </row>
    <row r="17" customFormat="false" ht="19.5" hidden="false" customHeight="true" outlineLevel="0" collapsed="false">
      <c r="A17" s="14" t="n">
        <v>11</v>
      </c>
      <c r="B17" s="15" t="s">
        <v>20</v>
      </c>
      <c r="C17" s="15" t="s">
        <v>47</v>
      </c>
      <c r="D17" s="16" t="s">
        <v>52</v>
      </c>
      <c r="E17" s="17" t="s">
        <v>53</v>
      </c>
      <c r="F17" s="18" t="n">
        <v>0.008</v>
      </c>
      <c r="G17" s="14" t="n">
        <v>1</v>
      </c>
      <c r="H17" s="14" t="n">
        <v>1</v>
      </c>
      <c r="I17" s="14" t="n">
        <v>2</v>
      </c>
      <c r="J17" s="19" t="n">
        <v>67267</v>
      </c>
      <c r="K17" s="20" t="n">
        <v>77674</v>
      </c>
      <c r="L17" s="20" t="n">
        <v>86129</v>
      </c>
      <c r="M17" s="20" t="n">
        <v>38000</v>
      </c>
      <c r="N17" s="20" t="n">
        <v>67267</v>
      </c>
      <c r="O17" s="21" t="n">
        <f aca="false">IF(N17=0,"N/A",J17/N17-1)</f>
        <v>0</v>
      </c>
      <c r="P17" s="20" t="n">
        <v>0</v>
      </c>
      <c r="Q17" s="17"/>
    </row>
    <row r="18" customFormat="false" ht="19.5" hidden="false" customHeight="true" outlineLevel="0" collapsed="false">
      <c r="A18" s="14" t="n">
        <v>12</v>
      </c>
      <c r="B18" s="15" t="s">
        <v>20</v>
      </c>
      <c r="C18" s="15" t="s">
        <v>47</v>
      </c>
      <c r="D18" s="16" t="s">
        <v>54</v>
      </c>
      <c r="E18" s="17" t="s">
        <v>55</v>
      </c>
      <c r="F18" s="18" t="n">
        <v>0.003</v>
      </c>
      <c r="G18" s="14" t="n">
        <v>0</v>
      </c>
      <c r="H18" s="14" t="n">
        <v>1</v>
      </c>
      <c r="I18" s="14" t="n">
        <v>1</v>
      </c>
      <c r="J18" s="19" t="n">
        <v>55530</v>
      </c>
      <c r="K18" s="20" t="n">
        <v>70926</v>
      </c>
      <c r="L18" s="20" t="n">
        <v>49269</v>
      </c>
      <c r="M18" s="20" t="n">
        <v>46397</v>
      </c>
      <c r="N18" s="20" t="n">
        <v>55530</v>
      </c>
      <c r="O18" s="21" t="n">
        <f aca="false">IF(N18=0,"N/A",J18/N18-1)</f>
        <v>0</v>
      </c>
      <c r="P18" s="20" t="n">
        <v>0</v>
      </c>
      <c r="Q18" s="17"/>
    </row>
    <row r="19" customFormat="false" ht="19.5" hidden="false" customHeight="true" outlineLevel="0" collapsed="false">
      <c r="A19" s="14" t="n">
        <v>13</v>
      </c>
      <c r="B19" s="15" t="s">
        <v>20</v>
      </c>
      <c r="C19" s="15" t="s">
        <v>47</v>
      </c>
      <c r="D19" s="16" t="s">
        <v>56</v>
      </c>
      <c r="E19" s="17" t="s">
        <v>56</v>
      </c>
      <c r="F19" s="18" t="n">
        <v>0.003</v>
      </c>
      <c r="G19" s="14" t="n">
        <v>0</v>
      </c>
      <c r="H19" s="14" t="n">
        <v>1</v>
      </c>
      <c r="I19" s="14" t="n">
        <v>1</v>
      </c>
      <c r="J19" s="19" t="n">
        <v>57877</v>
      </c>
      <c r="K19" s="20" t="n">
        <v>70026</v>
      </c>
      <c r="L19" s="20" t="n">
        <v>67632</v>
      </c>
      <c r="M19" s="20" t="n">
        <v>35973</v>
      </c>
      <c r="N19" s="20" t="n">
        <v>57877</v>
      </c>
      <c r="O19" s="21" t="n">
        <f aca="false">IF(N19=0,"N/A",J19/N19-1)</f>
        <v>0</v>
      </c>
      <c r="P19" s="20" t="n">
        <v>0</v>
      </c>
      <c r="Q19" s="17"/>
    </row>
    <row r="20" customFormat="false" ht="19.5" hidden="false" customHeight="true" outlineLevel="0" collapsed="false">
      <c r="A20" s="14" t="n">
        <v>14</v>
      </c>
      <c r="B20" s="15" t="s">
        <v>20</v>
      </c>
      <c r="C20" s="15" t="s">
        <v>47</v>
      </c>
      <c r="D20" s="16" t="s">
        <v>57</v>
      </c>
      <c r="E20" s="17" t="s">
        <v>58</v>
      </c>
      <c r="F20" s="18" t="n">
        <v>0.003</v>
      </c>
      <c r="G20" s="14" t="n">
        <v>0</v>
      </c>
      <c r="H20" s="14" t="n">
        <v>1</v>
      </c>
      <c r="I20" s="14" t="n">
        <v>1</v>
      </c>
      <c r="J20" s="19" t="n">
        <v>62585</v>
      </c>
      <c r="K20" s="20" t="n">
        <v>76692</v>
      </c>
      <c r="L20" s="20" t="n">
        <v>84691</v>
      </c>
      <c r="M20" s="20" t="n">
        <v>26373</v>
      </c>
      <c r="N20" s="20" t="n">
        <v>62585</v>
      </c>
      <c r="O20" s="21" t="n">
        <f aca="false">IF(N20=0,"N/A",J20/N20-1)</f>
        <v>0</v>
      </c>
      <c r="P20" s="20" t="n">
        <v>0</v>
      </c>
      <c r="Q20" s="17"/>
    </row>
    <row r="21" customFormat="false" ht="19.5" hidden="false" customHeight="true" outlineLevel="0" collapsed="false">
      <c r="A21" s="14" t="n">
        <v>15</v>
      </c>
      <c r="B21" s="15" t="s">
        <v>20</v>
      </c>
      <c r="C21" s="15" t="s">
        <v>47</v>
      </c>
      <c r="D21" s="16" t="s">
        <v>59</v>
      </c>
      <c r="E21" s="17" t="s">
        <v>60</v>
      </c>
      <c r="F21" s="18" t="n">
        <v>0.003</v>
      </c>
      <c r="G21" s="14" t="n">
        <v>0</v>
      </c>
      <c r="H21" s="14" t="n">
        <v>1</v>
      </c>
      <c r="I21" s="14" t="n">
        <v>1</v>
      </c>
      <c r="J21" s="19" t="n">
        <v>37769</v>
      </c>
      <c r="K21" s="20" t="n">
        <v>47508</v>
      </c>
      <c r="L21" s="20" t="n">
        <v>45283</v>
      </c>
      <c r="M21" s="20" t="n">
        <v>20517</v>
      </c>
      <c r="N21" s="20" t="n">
        <v>37769</v>
      </c>
      <c r="O21" s="21" t="n">
        <f aca="false">IF(N21=0,"N/A",J21/N21-1)</f>
        <v>0</v>
      </c>
      <c r="P21" s="20" t="n">
        <v>0</v>
      </c>
      <c r="Q21" s="17"/>
    </row>
    <row r="22" customFormat="false" ht="19.5" hidden="false" customHeight="true" outlineLevel="0" collapsed="false">
      <c r="A22" s="14" t="n">
        <v>16</v>
      </c>
      <c r="B22" s="15" t="s">
        <v>20</v>
      </c>
      <c r="C22" s="15" t="s">
        <v>47</v>
      </c>
      <c r="D22" s="16" t="s">
        <v>61</v>
      </c>
      <c r="E22" s="17" t="s">
        <v>62</v>
      </c>
      <c r="F22" s="18" t="n">
        <v>0.003</v>
      </c>
      <c r="G22" s="14" t="n">
        <v>0</v>
      </c>
      <c r="H22" s="14" t="n">
        <v>1</v>
      </c>
      <c r="I22" s="14" t="n">
        <v>1</v>
      </c>
      <c r="J22" s="19" t="n">
        <v>20522</v>
      </c>
      <c r="K22" s="20" t="n">
        <v>13840</v>
      </c>
      <c r="L22" s="20" t="n">
        <v>29222</v>
      </c>
      <c r="M22" s="20" t="n">
        <v>18506</v>
      </c>
      <c r="N22" s="20" t="n">
        <v>20522</v>
      </c>
      <c r="O22" s="21" t="n">
        <f aca="false">IF(N22=0,"N/A",J22/N22-1)</f>
        <v>0</v>
      </c>
      <c r="P22" s="20" t="n">
        <v>0</v>
      </c>
      <c r="Q22" s="17"/>
    </row>
    <row r="23" customFormat="false" ht="19.5" hidden="false" customHeight="true" outlineLevel="0" collapsed="false">
      <c r="A23" s="14" t="n">
        <v>17</v>
      </c>
      <c r="B23" s="15" t="s">
        <v>20</v>
      </c>
      <c r="C23" s="15" t="s">
        <v>47</v>
      </c>
      <c r="D23" s="16" t="s">
        <v>63</v>
      </c>
      <c r="E23" s="17" t="s">
        <v>64</v>
      </c>
      <c r="F23" s="18" t="n">
        <v>0.003</v>
      </c>
      <c r="G23" s="14" t="n">
        <v>0</v>
      </c>
      <c r="H23" s="14" t="n">
        <v>1</v>
      </c>
      <c r="I23" s="14" t="n">
        <v>1</v>
      </c>
      <c r="J23" s="19" t="n">
        <v>25268</v>
      </c>
      <c r="K23" s="20" t="n">
        <v>25204</v>
      </c>
      <c r="L23" s="20" t="n">
        <v>33225</v>
      </c>
      <c r="M23" s="20" t="n">
        <v>17375</v>
      </c>
      <c r="N23" s="20" t="n">
        <v>25268</v>
      </c>
      <c r="O23" s="21" t="n">
        <f aca="false">IF(N23=0,"N/A",J23/N23-1)</f>
        <v>0</v>
      </c>
      <c r="P23" s="20" t="n">
        <v>0</v>
      </c>
      <c r="Q23" s="17"/>
    </row>
    <row r="24" customFormat="false" ht="19.5" hidden="false" customHeight="true" outlineLevel="0" collapsed="false">
      <c r="A24" s="14" t="n">
        <v>18</v>
      </c>
      <c r="B24" s="15" t="s">
        <v>20</v>
      </c>
      <c r="C24" s="15" t="s">
        <v>47</v>
      </c>
      <c r="D24" s="16" t="s">
        <v>65</v>
      </c>
      <c r="E24" s="17" t="s">
        <v>66</v>
      </c>
      <c r="F24" s="18" t="n">
        <v>0.003</v>
      </c>
      <c r="G24" s="14" t="n">
        <v>0</v>
      </c>
      <c r="H24" s="14" t="n">
        <v>1</v>
      </c>
      <c r="I24" s="14" t="n">
        <v>1</v>
      </c>
      <c r="J24" s="19" t="n">
        <v>18547</v>
      </c>
      <c r="K24" s="20" t="n">
        <v>23919</v>
      </c>
      <c r="L24" s="20" t="n">
        <v>17482</v>
      </c>
      <c r="M24" s="20" t="n">
        <v>14241</v>
      </c>
      <c r="N24" s="20" t="n">
        <v>18547</v>
      </c>
      <c r="O24" s="21" t="n">
        <f aca="false">IF(N24=0,"N/A",J24/N24-1)</f>
        <v>0</v>
      </c>
      <c r="P24" s="20" t="n">
        <v>0</v>
      </c>
      <c r="Q24" s="17"/>
    </row>
    <row r="25" customFormat="false" ht="19.5" hidden="false" customHeight="true" outlineLevel="0" collapsed="false">
      <c r="A25" s="14" t="n">
        <v>19</v>
      </c>
      <c r="B25" s="15" t="s">
        <v>20</v>
      </c>
      <c r="C25" s="15" t="s">
        <v>47</v>
      </c>
      <c r="D25" s="16" t="s">
        <v>67</v>
      </c>
      <c r="E25" s="17" t="s">
        <v>68</v>
      </c>
      <c r="F25" s="18" t="n">
        <v>0.003</v>
      </c>
      <c r="G25" s="14" t="n">
        <v>0</v>
      </c>
      <c r="H25" s="14" t="n">
        <v>1</v>
      </c>
      <c r="I25" s="14" t="n">
        <v>1</v>
      </c>
      <c r="J25" s="19" t="n">
        <v>7843</v>
      </c>
      <c r="K25" s="20" t="n">
        <v>717</v>
      </c>
      <c r="L25" s="20" t="n">
        <v>11650</v>
      </c>
      <c r="M25" s="20" t="n">
        <v>11162</v>
      </c>
      <c r="N25" s="20" t="n">
        <v>7843</v>
      </c>
      <c r="O25" s="21" t="n">
        <f aca="false">IF(N25=0,"N/A",J25/N25-1)</f>
        <v>0</v>
      </c>
      <c r="P25" s="20" t="n">
        <v>0</v>
      </c>
      <c r="Q25" s="17"/>
    </row>
    <row r="26" customFormat="false" ht="19.5" hidden="false" customHeight="true" outlineLevel="0" collapsed="false">
      <c r="A26" s="14" t="n">
        <v>20</v>
      </c>
      <c r="B26" s="15" t="s">
        <v>20</v>
      </c>
      <c r="C26" s="15" t="s">
        <v>47</v>
      </c>
      <c r="D26" s="16" t="s">
        <v>69</v>
      </c>
      <c r="E26" s="17" t="s">
        <v>70</v>
      </c>
      <c r="F26" s="18" t="n">
        <v>0.003</v>
      </c>
      <c r="G26" s="14" t="n">
        <v>0</v>
      </c>
      <c r="H26" s="14" t="n">
        <v>1</v>
      </c>
      <c r="I26" s="14" t="n">
        <v>1</v>
      </c>
      <c r="J26" s="19" t="n">
        <v>13555</v>
      </c>
      <c r="K26" s="20" t="n">
        <v>20603</v>
      </c>
      <c r="L26" s="20" t="n">
        <v>14016</v>
      </c>
      <c r="M26" s="20" t="n">
        <v>6046</v>
      </c>
      <c r="N26" s="20" t="n">
        <v>13555</v>
      </c>
      <c r="O26" s="21" t="n">
        <f aca="false">IF(N26=0,"N/A",J26/N26-1)</f>
        <v>0</v>
      </c>
      <c r="P26" s="20" t="n">
        <v>0</v>
      </c>
      <c r="Q26" s="17"/>
    </row>
    <row r="28" customFormat="false" ht="21.75" hidden="false" customHeight="true" outlineLevel="0" collapsed="false">
      <c r="A28" s="22" t="s">
        <v>71</v>
      </c>
      <c r="B28" s="23"/>
      <c r="C28" s="23"/>
      <c r="D28" s="23"/>
      <c r="E28" s="23"/>
      <c r="F28" s="24" t="n">
        <f aca="false">F5+F7+F8+F9+F10+F11+F12+F13+F15+F16+F17+F18+F19+F20+F21+F22+F23+F24+F25+F26</f>
        <v>1.021</v>
      </c>
      <c r="G28" s="25" t="n">
        <f aca="false">G5+G7+G8+G9+G10+G11+G12+G13+G15+G16+G17+G18+G19+G20+G21+G22+G23+G24+G25+G26</f>
        <v>61</v>
      </c>
      <c r="H28" s="25" t="n">
        <f aca="false">H5+H7+H8+H9+H10+H11+H12+H13+H15+H16+H17+H18+H19+H20+H21+H22+H23+H24+H25+H26</f>
        <v>38</v>
      </c>
      <c r="I28" s="25" t="n">
        <f aca="false">I5+I7+I8+I9+I10+I11+I12+I13+I15+I16+I17+I18+I19+I20+I21+I22+I23+I24+I25+I26</f>
        <v>99</v>
      </c>
      <c r="J28" s="26" t="n">
        <f aca="false">J5+J7+J8+J9+J10+J11+J12+J13+J15+J16+J17+J18+J19+J20+J21+J22+J23+J24+J25+J26</f>
        <v>4611254</v>
      </c>
      <c r="K28" s="26" t="n">
        <f aca="false">K5+K7+K8+K9+K10+K11+K12+K13+K15+K16+K17+K18+K19+K20+K21+K22+K23+K24+K25+K26</f>
        <v>4411315</v>
      </c>
      <c r="L28" s="26" t="n">
        <f aca="false">L5+L7+L8+L9+L10+L11+L12+L13+L15+L16+L17+L18+L19+L20+L21+L22+L23+L24+L25+L26</f>
        <v>4375541</v>
      </c>
      <c r="M28" s="26" t="n">
        <f aca="false">M5+M7+M8+M9+M10+M11+M12+M13+M15+M16+M17+M18+M19+M20+M21+M22+M23+M24+M25+M26</f>
        <v>2526927</v>
      </c>
      <c r="N28" s="26" t="n">
        <f aca="false">N5+N7+N8+N9+N10+N11+N12+N13+N15+N16+N17+N18+N19+N20+N21+N22+N23+N24+N25+N26</f>
        <v>3771254</v>
      </c>
      <c r="O28" s="23"/>
      <c r="P28" s="23"/>
      <c r="Q28" s="23"/>
    </row>
    <row r="29" customFormat="false" ht="21.75" hidden="false" customHeight="true" outlineLevel="0" collapsed="false">
      <c r="A29" s="27" t="s">
        <v>72</v>
      </c>
      <c r="B29" s="28"/>
      <c r="C29" s="28"/>
      <c r="D29" s="28"/>
      <c r="E29" s="28"/>
      <c r="F29" s="29" t="n">
        <f aca="false">F15+F16+F17+F18+F19+F20+F21+F22+F23+F24+F25+F26</f>
        <v>0.051</v>
      </c>
      <c r="G29" s="30" t="n">
        <f aca="false">G15+G16+G17+G18+G19+G20+G21+G22+G23+G24+G25+G26</f>
        <v>3</v>
      </c>
      <c r="H29" s="30" t="n">
        <f aca="false">H15+H16+H17+H18+H19+H20+H21+H22+H23+H24+H25+H26</f>
        <v>12</v>
      </c>
      <c r="I29" s="30" t="n">
        <f aca="false">I15+I16+I17+I18+I19+I20+I21+I22+I23+I24+I25+I26</f>
        <v>15</v>
      </c>
      <c r="J29" s="31" t="n">
        <f aca="false">J15+J16+J17+J18+J19+J20+J21+J22+J23+J24+J25+J26</f>
        <v>529964</v>
      </c>
      <c r="K29" s="31" t="n">
        <f aca="false">K15+K16+K17+K18+K19+K20+K21+K22+K23+K24+K25+K26</f>
        <v>652505</v>
      </c>
      <c r="L29" s="31" t="n">
        <f aca="false">L15+L16+L17+L18+L19+L20+L21+L22+L23+L24+L25+L26</f>
        <v>577606</v>
      </c>
      <c r="M29" s="31" t="n">
        <f aca="false">M15+M16+M17+M18+M19+M20+M21+M22+M23+M24+M25+M26</f>
        <v>359793</v>
      </c>
      <c r="N29" s="31" t="n">
        <f aca="false">N15+N16+N17+N18+N19+N20+N21+N22+N23+N24+N25+N26</f>
        <v>529964</v>
      </c>
      <c r="O29" s="28"/>
      <c r="P29" s="28"/>
      <c r="Q29" s="28"/>
    </row>
    <row r="30" customFormat="false" ht="21.75" hidden="false" customHeight="true" outlineLevel="0" collapsed="false">
      <c r="A30" s="32" t="s">
        <v>73</v>
      </c>
      <c r="B30" s="33"/>
      <c r="C30" s="33"/>
      <c r="D30" s="33"/>
      <c r="E30" s="33"/>
      <c r="F30" s="34" t="n">
        <f aca="false">F5+F7+F8+F9+F10+F11+F12+F13+F15+F16+F17+F18+F19+F20+F21+F22+F23+F24+F25+F26</f>
        <v>1.021</v>
      </c>
      <c r="G30" s="35" t="n">
        <f aca="false">G5+G7+G8+G9+G10+G11+G12+G13+G15+G16+G17+G18+G19+G20+G21+G22+G23+G24+G25+G26</f>
        <v>61</v>
      </c>
      <c r="H30" s="35" t="n">
        <f aca="false">H5+H7+H8+H9+H10+H11+H12+H13+H15+H16+H17+H18+H19+H20+H21+H22+H23+H24+H25+H26</f>
        <v>38</v>
      </c>
      <c r="I30" s="35" t="n">
        <f aca="false">I5+I7+I8+I9+I10+I11+I12+I13+I15+I16+I17+I18+I19+I20+I21+I22+I23+I24+I25+I26</f>
        <v>99</v>
      </c>
      <c r="J30" s="36" t="n">
        <f aca="false">J5+J7+J8+J9+J10+J11+J12+J13+J15+J16+J17+J18+J19+J20+J21+J22+J23+J24+J25+J26</f>
        <v>4611254</v>
      </c>
      <c r="K30" s="36" t="n">
        <f aca="false">K5+K7+K8+K9+K10+K11+K12+K13+K15+K16+K17+K18+K19+K20+K21+K22+K23+K24+K25+K26</f>
        <v>4411315</v>
      </c>
      <c r="L30" s="36" t="n">
        <f aca="false">L5+L7+L8+L9+L10+L11+L12+L13+L15+L16+L17+L18+L19+L20+L21+L22+L23+L24+L25+L26</f>
        <v>4375541</v>
      </c>
      <c r="M30" s="36" t="n">
        <f aca="false">M5+M7+M8+M9+M10+M11+M12+M13+M15+M16+M17+M18+M19+M20+M21+M22+M23+M24+M25+M26</f>
        <v>2526927</v>
      </c>
      <c r="N30" s="36" t="n">
        <f aca="false">N5+N7+N8+N9+N10+N11+N12+N13+N15+N16+N17+N18+N19+N20+N21+N22+N23+N24+N25+N26</f>
        <v>3771254</v>
      </c>
      <c r="O30" s="33"/>
      <c r="P30" s="33"/>
      <c r="Q30" s="33"/>
    </row>
    <row r="32" customFormat="false" ht="21.75" hidden="false" customHeight="true" outlineLevel="0" collapsed="false">
      <c r="A32" s="37" t="s">
        <v>74</v>
      </c>
      <c r="B32" s="38"/>
      <c r="C32" s="38"/>
      <c r="D32" s="38"/>
      <c r="E32" s="38"/>
      <c r="F32" s="38"/>
      <c r="G32" s="38"/>
      <c r="H32" s="38"/>
      <c r="I32" s="38"/>
      <c r="J32" s="19" t="n">
        <v>5800000</v>
      </c>
      <c r="K32" s="38"/>
      <c r="L32" s="38"/>
      <c r="M32" s="38"/>
      <c r="N32" s="38"/>
      <c r="O32" s="38"/>
      <c r="P32" s="38"/>
      <c r="Q32" s="38"/>
    </row>
    <row r="33" customFormat="false" ht="21.75" hidden="false" customHeight="true" outlineLevel="0" collapsed="false">
      <c r="A33" s="39" t="s">
        <v>75</v>
      </c>
      <c r="B33" s="40"/>
      <c r="C33" s="40"/>
      <c r="D33" s="40"/>
      <c r="E33" s="40"/>
      <c r="F33" s="40"/>
      <c r="G33" s="40"/>
      <c r="H33" s="40"/>
      <c r="I33" s="40"/>
      <c r="J33" s="41" t="n">
        <f aca="false">J30-J32</f>
        <v>-1188746</v>
      </c>
      <c r="K33" s="42" t="n">
        <f aca="false">J33/J32</f>
        <v>-0.204956206896552</v>
      </c>
      <c r="L33" s="40"/>
      <c r="M33" s="40"/>
      <c r="N33" s="40"/>
      <c r="O33" s="40"/>
      <c r="P33" s="40"/>
      <c r="Q33" s="40"/>
    </row>
    <row r="35" customFormat="false" ht="13.5" hidden="false" customHeight="true" outlineLevel="0" collapsed="false">
      <c r="A35" s="43" t="s">
        <v>76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</sheetData>
  <mergeCells count="6">
    <mergeCell ref="A1:Q1"/>
    <mergeCell ref="A2:Q2"/>
    <mergeCell ref="A4:Q4"/>
    <mergeCell ref="A6:Q6"/>
    <mergeCell ref="A14:Q14"/>
    <mergeCell ref="A35:Q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16"/>
  </cols>
  <sheetData>
    <row r="1" customFormat="false" ht="30" hidden="false" customHeight="true" outlineLevel="0" collapsed="false">
      <c r="A1" s="44" t="s">
        <v>77</v>
      </c>
      <c r="B1" s="44"/>
      <c r="C1" s="44"/>
      <c r="D1" s="44"/>
      <c r="E1" s="44"/>
      <c r="F1" s="44"/>
      <c r="G1" s="44"/>
    </row>
    <row r="2" customFormat="false" ht="18" hidden="false" customHeight="true" outlineLevel="0" collapsed="false">
      <c r="A2" s="45" t="s">
        <v>78</v>
      </c>
      <c r="B2" s="45"/>
      <c r="C2" s="45"/>
      <c r="D2" s="45"/>
      <c r="E2" s="45"/>
      <c r="F2" s="45"/>
      <c r="G2" s="45"/>
    </row>
    <row r="3" customFormat="false" ht="24" hidden="false" customHeight="true" outlineLevel="0" collapsed="false">
      <c r="A3" s="46" t="s">
        <v>79</v>
      </c>
      <c r="B3" s="46" t="s">
        <v>80</v>
      </c>
      <c r="C3" s="46" t="s">
        <v>81</v>
      </c>
      <c r="D3" s="46" t="s">
        <v>82</v>
      </c>
      <c r="E3" s="46" t="s">
        <v>83</v>
      </c>
      <c r="F3" s="46" t="s">
        <v>84</v>
      </c>
      <c r="G3" s="46" t="s">
        <v>85</v>
      </c>
    </row>
    <row r="4" customFormat="false" ht="21.75" hidden="false" customHeight="true" outlineLevel="0" collapsed="false">
      <c r="A4" s="47" t="s">
        <v>86</v>
      </c>
      <c r="B4" s="48" t="n">
        <v>290</v>
      </c>
      <c r="C4" s="48" t="n">
        <v>450</v>
      </c>
      <c r="D4" s="49" t="n">
        <f aca="false">B4*C4</f>
        <v>130500</v>
      </c>
      <c r="E4" s="50" t="n">
        <f aca="false">C4/C8</f>
        <v>0.162162162162162</v>
      </c>
      <c r="F4" s="51" t="n">
        <v>0.4</v>
      </c>
      <c r="G4" s="52" t="n">
        <f aca="false">D4*(1-F4)</f>
        <v>78300</v>
      </c>
    </row>
    <row r="5" customFormat="false" ht="21.75" hidden="false" customHeight="true" outlineLevel="0" collapsed="false">
      <c r="A5" s="53" t="s">
        <v>87</v>
      </c>
      <c r="B5" s="54" t="n">
        <v>290</v>
      </c>
      <c r="C5" s="54" t="n">
        <v>1930</v>
      </c>
      <c r="D5" s="55" t="n">
        <f aca="false">B5*C5</f>
        <v>559700</v>
      </c>
      <c r="E5" s="56" t="n">
        <f aca="false">C5/C8</f>
        <v>0.695495495495496</v>
      </c>
      <c r="F5" s="57" t="n">
        <v>0.4</v>
      </c>
      <c r="G5" s="58" t="n">
        <f aca="false">D5*(1-F5)</f>
        <v>335820</v>
      </c>
    </row>
    <row r="6" customFormat="false" ht="21.75" hidden="false" customHeight="true" outlineLevel="0" collapsed="false">
      <c r="A6" s="59" t="s">
        <v>88</v>
      </c>
      <c r="B6" s="60" t="n">
        <v>399</v>
      </c>
      <c r="C6" s="60" t="n">
        <v>357</v>
      </c>
      <c r="D6" s="61" t="n">
        <f aca="false">B6*C6</f>
        <v>142443</v>
      </c>
      <c r="E6" s="62" t="n">
        <f aca="false">C6/C8</f>
        <v>0.128648648648649</v>
      </c>
      <c r="F6" s="63" t="n">
        <v>0.03</v>
      </c>
      <c r="G6" s="64" t="n">
        <f aca="false">D6*(1-F6)</f>
        <v>138169.71</v>
      </c>
    </row>
    <row r="7" customFormat="false" ht="21.75" hidden="false" customHeight="true" outlineLevel="0" collapsed="false">
      <c r="A7" s="65" t="s">
        <v>89</v>
      </c>
      <c r="B7" s="66" t="n">
        <v>199</v>
      </c>
      <c r="C7" s="66" t="n">
        <v>38</v>
      </c>
      <c r="D7" s="67" t="n">
        <f aca="false">B7*C7</f>
        <v>7562</v>
      </c>
      <c r="E7" s="68" t="n">
        <f aca="false">C7/C8</f>
        <v>0.0136936936936937</v>
      </c>
      <c r="F7" s="69" t="n">
        <v>0.1</v>
      </c>
      <c r="G7" s="70" t="n">
        <f aca="false">D7*(1-F7)</f>
        <v>6805.8</v>
      </c>
    </row>
    <row r="8" customFormat="false" ht="25.5" hidden="false" customHeight="true" outlineLevel="0" collapsed="false">
      <c r="A8" s="71" t="s">
        <v>90</v>
      </c>
      <c r="B8" s="72"/>
      <c r="C8" s="73" t="n">
        <f aca="false">SUM(C4:C7)</f>
        <v>2775</v>
      </c>
      <c r="D8" s="73" t="n">
        <f aca="false">SUM(D4:D7)</f>
        <v>840205</v>
      </c>
      <c r="E8" s="72"/>
      <c r="F8" s="72"/>
      <c r="G8" s="73" t="n">
        <f aca="false">SUM(G4:G7)</f>
        <v>559095.51</v>
      </c>
    </row>
    <row r="10" customFormat="false" ht="13.5" hidden="false" customHeight="true" outlineLevel="0" collapsed="false">
      <c r="A10" s="43" t="s">
        <v>91</v>
      </c>
      <c r="B10" s="43"/>
      <c r="C10" s="43"/>
      <c r="D10" s="43"/>
      <c r="E10" s="43"/>
      <c r="F10" s="43"/>
      <c r="G10" s="43"/>
    </row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36"/>
  </cols>
  <sheetData>
    <row r="1" customFormat="false" ht="27.75" hidden="false" customHeight="true" outlineLevel="0" collapsed="false">
      <c r="A1" s="44" t="s">
        <v>92</v>
      </c>
      <c r="B1" s="44"/>
      <c r="C1" s="44"/>
      <c r="D1" s="44"/>
      <c r="E1" s="44"/>
      <c r="F1" s="44"/>
      <c r="G1" s="44"/>
      <c r="H1" s="44"/>
    </row>
    <row r="2" customFormat="false" ht="21.75" hidden="false" customHeight="true" outlineLevel="0" collapsed="false">
      <c r="A2" s="74" t="s">
        <v>93</v>
      </c>
      <c r="B2" s="74" t="s">
        <v>4</v>
      </c>
      <c r="C2" s="74" t="s">
        <v>94</v>
      </c>
      <c r="D2" s="74" t="s">
        <v>95</v>
      </c>
      <c r="E2" s="74" t="s">
        <v>8</v>
      </c>
      <c r="F2" s="74" t="s">
        <v>9</v>
      </c>
      <c r="G2" s="74" t="s">
        <v>96</v>
      </c>
      <c r="H2" s="74" t="s">
        <v>97</v>
      </c>
    </row>
    <row r="3" customFormat="false" ht="18" hidden="false" customHeight="true" outlineLevel="0" collapsed="false">
      <c r="A3" s="75" t="s">
        <v>22</v>
      </c>
      <c r="B3" s="76" t="s">
        <v>21</v>
      </c>
      <c r="C3" s="77" t="n">
        <v>0.38</v>
      </c>
      <c r="D3" s="78" t="n">
        <v>28</v>
      </c>
      <c r="E3" s="78" t="n">
        <v>20</v>
      </c>
      <c r="F3" s="78" t="n">
        <v>8</v>
      </c>
      <c r="G3" s="79" t="n">
        <f aca="false">IF(D3=0,0,E3/D3)</f>
        <v>0.714285714285714</v>
      </c>
      <c r="H3" s="80" t="s">
        <v>98</v>
      </c>
    </row>
    <row r="4" customFormat="false" ht="18" hidden="false" customHeight="true" outlineLevel="0" collapsed="false">
      <c r="A4" s="16" t="s">
        <v>28</v>
      </c>
      <c r="B4" s="15" t="s">
        <v>27</v>
      </c>
      <c r="C4" s="18" t="n">
        <v>0.22</v>
      </c>
      <c r="D4" s="14" t="n">
        <v>18</v>
      </c>
      <c r="E4" s="14" t="n">
        <v>12</v>
      </c>
      <c r="F4" s="14" t="n">
        <v>6</v>
      </c>
      <c r="G4" s="81" t="n">
        <f aca="false">IF(D4=0,0,E4/D4)</f>
        <v>0.666666666666667</v>
      </c>
      <c r="H4" s="17" t="s">
        <v>99</v>
      </c>
    </row>
    <row r="5" customFormat="false" ht="18" hidden="false" customHeight="true" outlineLevel="0" collapsed="false">
      <c r="A5" s="16" t="s">
        <v>30</v>
      </c>
      <c r="B5" s="15" t="s">
        <v>27</v>
      </c>
      <c r="C5" s="18" t="n">
        <v>0.07</v>
      </c>
      <c r="D5" s="14" t="n">
        <v>8</v>
      </c>
      <c r="E5" s="14" t="n">
        <v>5</v>
      </c>
      <c r="F5" s="14" t="n">
        <v>3</v>
      </c>
      <c r="G5" s="81" t="n">
        <f aca="false">IF(D5=0,0,E5/D5)</f>
        <v>0.625</v>
      </c>
      <c r="H5" s="17" t="s">
        <v>99</v>
      </c>
    </row>
    <row r="6" customFormat="false" ht="18" hidden="false" customHeight="true" outlineLevel="0" collapsed="false">
      <c r="A6" s="16" t="s">
        <v>32</v>
      </c>
      <c r="B6" s="15" t="s">
        <v>27</v>
      </c>
      <c r="C6" s="18" t="n">
        <v>0.04</v>
      </c>
      <c r="D6" s="14" t="n">
        <v>4</v>
      </c>
      <c r="E6" s="14" t="n">
        <v>3</v>
      </c>
      <c r="F6" s="14" t="n">
        <v>1</v>
      </c>
      <c r="G6" s="81" t="n">
        <f aca="false">IF(D6=0,0,E6/D6)</f>
        <v>0.75</v>
      </c>
      <c r="H6" s="17" t="s">
        <v>99</v>
      </c>
    </row>
    <row r="7" customFormat="false" ht="18" hidden="false" customHeight="true" outlineLevel="0" collapsed="false">
      <c r="A7" s="16" t="s">
        <v>35</v>
      </c>
      <c r="B7" s="15" t="s">
        <v>27</v>
      </c>
      <c r="C7" s="18" t="n">
        <v>0.1</v>
      </c>
      <c r="D7" s="14" t="n">
        <v>10</v>
      </c>
      <c r="E7" s="14" t="n">
        <v>7</v>
      </c>
      <c r="F7" s="14" t="n">
        <v>3</v>
      </c>
      <c r="G7" s="81" t="n">
        <f aca="false">IF(D7=0,0,E7/D7)</f>
        <v>0.7</v>
      </c>
      <c r="H7" s="17" t="s">
        <v>99</v>
      </c>
    </row>
    <row r="8" customFormat="false" ht="18" hidden="false" customHeight="true" outlineLevel="0" collapsed="false">
      <c r="A8" s="16" t="s">
        <v>38</v>
      </c>
      <c r="B8" s="15" t="s">
        <v>27</v>
      </c>
      <c r="C8" s="18" t="n">
        <v>0.07</v>
      </c>
      <c r="D8" s="14" t="n">
        <v>7</v>
      </c>
      <c r="E8" s="14" t="n">
        <v>5</v>
      </c>
      <c r="F8" s="14" t="n">
        <v>2</v>
      </c>
      <c r="G8" s="81" t="n">
        <f aca="false">IF(D8=0,0,E8/D8)</f>
        <v>0.714285714285714</v>
      </c>
      <c r="H8" s="17" t="s">
        <v>99</v>
      </c>
    </row>
    <row r="9" customFormat="false" ht="18" hidden="false" customHeight="true" outlineLevel="0" collapsed="false">
      <c r="A9" s="16" t="s">
        <v>41</v>
      </c>
      <c r="B9" s="15" t="s">
        <v>27</v>
      </c>
      <c r="C9" s="18" t="n">
        <v>0.02</v>
      </c>
      <c r="D9" s="14" t="n">
        <v>3</v>
      </c>
      <c r="E9" s="14" t="n">
        <v>2</v>
      </c>
      <c r="F9" s="14" t="n">
        <v>1</v>
      </c>
      <c r="G9" s="81" t="n">
        <f aca="false">IF(D9=0,0,E9/D9)</f>
        <v>0.666666666666667</v>
      </c>
      <c r="H9" s="17" t="s">
        <v>99</v>
      </c>
    </row>
    <row r="10" customFormat="false" ht="18" hidden="false" customHeight="true" outlineLevel="0" collapsed="false">
      <c r="A10" s="16" t="s">
        <v>43</v>
      </c>
      <c r="B10" s="15" t="s">
        <v>27</v>
      </c>
      <c r="C10" s="18" t="n">
        <v>0.07</v>
      </c>
      <c r="D10" s="14" t="n">
        <v>6</v>
      </c>
      <c r="E10" s="14" t="n">
        <v>4</v>
      </c>
      <c r="F10" s="14" t="n">
        <v>2</v>
      </c>
      <c r="G10" s="81" t="n">
        <f aca="false">IF(D10=0,0,E10/D10)</f>
        <v>0.666666666666667</v>
      </c>
      <c r="H10" s="17" t="s">
        <v>99</v>
      </c>
    </row>
    <row r="11" customFormat="false" ht="18" hidden="false" customHeight="true" outlineLevel="0" collapsed="false">
      <c r="A11" s="16" t="s">
        <v>48</v>
      </c>
      <c r="B11" s="15" t="s">
        <v>47</v>
      </c>
      <c r="C11" s="18" t="n">
        <v>0.008</v>
      </c>
      <c r="D11" s="14" t="n">
        <v>2</v>
      </c>
      <c r="E11" s="14" t="n">
        <v>1</v>
      </c>
      <c r="F11" s="14" t="n">
        <v>1</v>
      </c>
      <c r="G11" s="81" t="n">
        <f aca="false">IF(D11=0,0,E11/D11)</f>
        <v>0.5</v>
      </c>
      <c r="H11" s="17" t="s">
        <v>99</v>
      </c>
    </row>
    <row r="12" customFormat="false" ht="18" hidden="false" customHeight="true" outlineLevel="0" collapsed="false">
      <c r="A12" s="16" t="s">
        <v>50</v>
      </c>
      <c r="B12" s="15" t="s">
        <v>47</v>
      </c>
      <c r="C12" s="18" t="n">
        <v>0.008</v>
      </c>
      <c r="D12" s="14" t="n">
        <v>2</v>
      </c>
      <c r="E12" s="14" t="n">
        <v>1</v>
      </c>
      <c r="F12" s="14" t="n">
        <v>1</v>
      </c>
      <c r="G12" s="81" t="n">
        <f aca="false">IF(D12=0,0,E12/D12)</f>
        <v>0.5</v>
      </c>
      <c r="H12" s="17" t="s">
        <v>99</v>
      </c>
    </row>
    <row r="13" customFormat="false" ht="18" hidden="false" customHeight="true" outlineLevel="0" collapsed="false">
      <c r="A13" s="16" t="s">
        <v>52</v>
      </c>
      <c r="B13" s="15" t="s">
        <v>47</v>
      </c>
      <c r="C13" s="18" t="n">
        <v>0.008</v>
      </c>
      <c r="D13" s="14" t="n">
        <v>2</v>
      </c>
      <c r="E13" s="14" t="n">
        <v>1</v>
      </c>
      <c r="F13" s="14" t="n">
        <v>1</v>
      </c>
      <c r="G13" s="81" t="n">
        <f aca="false">IF(D13=0,0,E13/D13)</f>
        <v>0.5</v>
      </c>
      <c r="H13" s="17" t="s">
        <v>99</v>
      </c>
    </row>
    <row r="14" customFormat="false" ht="18" hidden="false" customHeight="true" outlineLevel="0" collapsed="false">
      <c r="A14" s="16" t="s">
        <v>54</v>
      </c>
      <c r="B14" s="15" t="s">
        <v>47</v>
      </c>
      <c r="C14" s="18" t="n">
        <v>0.003</v>
      </c>
      <c r="D14" s="14" t="n">
        <v>1</v>
      </c>
      <c r="E14" s="14" t="n">
        <v>0</v>
      </c>
      <c r="F14" s="14" t="n">
        <v>1</v>
      </c>
      <c r="G14" s="81" t="n">
        <f aca="false">IF(D14=0,0,E14/D14)</f>
        <v>0</v>
      </c>
      <c r="H14" s="17" t="s">
        <v>99</v>
      </c>
    </row>
    <row r="15" customFormat="false" ht="18" hidden="false" customHeight="true" outlineLevel="0" collapsed="false">
      <c r="A15" s="16" t="s">
        <v>56</v>
      </c>
      <c r="B15" s="15" t="s">
        <v>47</v>
      </c>
      <c r="C15" s="18" t="n">
        <v>0.003</v>
      </c>
      <c r="D15" s="14" t="n">
        <v>1</v>
      </c>
      <c r="E15" s="14" t="n">
        <v>0</v>
      </c>
      <c r="F15" s="14" t="n">
        <v>1</v>
      </c>
      <c r="G15" s="81" t="n">
        <f aca="false">IF(D15=0,0,E15/D15)</f>
        <v>0</v>
      </c>
      <c r="H15" s="17" t="s">
        <v>99</v>
      </c>
    </row>
    <row r="16" customFormat="false" ht="18" hidden="false" customHeight="true" outlineLevel="0" collapsed="false">
      <c r="A16" s="16" t="s">
        <v>57</v>
      </c>
      <c r="B16" s="15" t="s">
        <v>47</v>
      </c>
      <c r="C16" s="18" t="n">
        <v>0.003</v>
      </c>
      <c r="D16" s="14" t="n">
        <v>1</v>
      </c>
      <c r="E16" s="14" t="n">
        <v>0</v>
      </c>
      <c r="F16" s="14" t="n">
        <v>1</v>
      </c>
      <c r="G16" s="81" t="n">
        <f aca="false">IF(D16=0,0,E16/D16)</f>
        <v>0</v>
      </c>
      <c r="H16" s="17" t="s">
        <v>99</v>
      </c>
    </row>
    <row r="17" customFormat="false" ht="18" hidden="false" customHeight="true" outlineLevel="0" collapsed="false">
      <c r="A17" s="16" t="s">
        <v>59</v>
      </c>
      <c r="B17" s="15" t="s">
        <v>47</v>
      </c>
      <c r="C17" s="18" t="n">
        <v>0.003</v>
      </c>
      <c r="D17" s="14" t="n">
        <v>1</v>
      </c>
      <c r="E17" s="14" t="n">
        <v>0</v>
      </c>
      <c r="F17" s="14" t="n">
        <v>1</v>
      </c>
      <c r="G17" s="81" t="n">
        <f aca="false">IF(D17=0,0,E17/D17)</f>
        <v>0</v>
      </c>
      <c r="H17" s="17" t="s">
        <v>99</v>
      </c>
    </row>
    <row r="18" customFormat="false" ht="18" hidden="false" customHeight="true" outlineLevel="0" collapsed="false">
      <c r="A18" s="16" t="s">
        <v>61</v>
      </c>
      <c r="B18" s="15" t="s">
        <v>47</v>
      </c>
      <c r="C18" s="18" t="n">
        <v>0.003</v>
      </c>
      <c r="D18" s="14" t="n">
        <v>1</v>
      </c>
      <c r="E18" s="14" t="n">
        <v>0</v>
      </c>
      <c r="F18" s="14" t="n">
        <v>1</v>
      </c>
      <c r="G18" s="81" t="n">
        <f aca="false">IF(D18=0,0,E18/D18)</f>
        <v>0</v>
      </c>
      <c r="H18" s="17" t="s">
        <v>99</v>
      </c>
    </row>
    <row r="19" customFormat="false" ht="18" hidden="false" customHeight="true" outlineLevel="0" collapsed="false">
      <c r="A19" s="16" t="s">
        <v>63</v>
      </c>
      <c r="B19" s="15" t="s">
        <v>47</v>
      </c>
      <c r="C19" s="18" t="n">
        <v>0.003</v>
      </c>
      <c r="D19" s="14" t="n">
        <v>1</v>
      </c>
      <c r="E19" s="14" t="n">
        <v>0</v>
      </c>
      <c r="F19" s="14" t="n">
        <v>1</v>
      </c>
      <c r="G19" s="81" t="n">
        <f aca="false">IF(D19=0,0,E19/D19)</f>
        <v>0</v>
      </c>
      <c r="H19" s="17" t="s">
        <v>99</v>
      </c>
    </row>
    <row r="20" customFormat="false" ht="18" hidden="false" customHeight="true" outlineLevel="0" collapsed="false">
      <c r="A20" s="16" t="s">
        <v>65</v>
      </c>
      <c r="B20" s="15" t="s">
        <v>47</v>
      </c>
      <c r="C20" s="18" t="n">
        <v>0.003</v>
      </c>
      <c r="D20" s="14" t="n">
        <v>1</v>
      </c>
      <c r="E20" s="14" t="n">
        <v>0</v>
      </c>
      <c r="F20" s="14" t="n">
        <v>1</v>
      </c>
      <c r="G20" s="81" t="n">
        <f aca="false">IF(D20=0,0,E20/D20)</f>
        <v>0</v>
      </c>
      <c r="H20" s="17" t="s">
        <v>99</v>
      </c>
    </row>
    <row r="21" customFormat="false" ht="18" hidden="false" customHeight="true" outlineLevel="0" collapsed="false">
      <c r="A21" s="16" t="s">
        <v>67</v>
      </c>
      <c r="B21" s="15" t="s">
        <v>47</v>
      </c>
      <c r="C21" s="18" t="n">
        <v>0.003</v>
      </c>
      <c r="D21" s="14" t="n">
        <v>1</v>
      </c>
      <c r="E21" s="14" t="n">
        <v>0</v>
      </c>
      <c r="F21" s="14" t="n">
        <v>1</v>
      </c>
      <c r="G21" s="81" t="n">
        <f aca="false">IF(D21=0,0,E21/D21)</f>
        <v>0</v>
      </c>
      <c r="H21" s="17" t="s">
        <v>99</v>
      </c>
    </row>
    <row r="22" customFormat="false" ht="18" hidden="false" customHeight="true" outlineLevel="0" collapsed="false">
      <c r="A22" s="16" t="s">
        <v>69</v>
      </c>
      <c r="B22" s="15" t="s">
        <v>47</v>
      </c>
      <c r="C22" s="18" t="n">
        <v>0.003</v>
      </c>
      <c r="D22" s="14" t="n">
        <v>1</v>
      </c>
      <c r="E22" s="14" t="n">
        <v>0</v>
      </c>
      <c r="F22" s="14" t="n">
        <v>1</v>
      </c>
      <c r="G22" s="81" t="n">
        <f aca="false">IF(D22=0,0,E22/D22)</f>
        <v>0</v>
      </c>
      <c r="H22" s="17" t="s">
        <v>99</v>
      </c>
    </row>
    <row r="23" customFormat="false" ht="19.5" hidden="false" customHeight="true" outlineLevel="0" collapsed="false">
      <c r="A23" s="82" t="s">
        <v>90</v>
      </c>
      <c r="B23" s="23"/>
      <c r="C23" s="83" t="n">
        <f aca="false">SUM(C3:C22)</f>
        <v>1.021</v>
      </c>
      <c r="D23" s="84" t="n">
        <f aca="false">SUM(D3:D22)</f>
        <v>99</v>
      </c>
      <c r="E23" s="84" t="n">
        <f aca="false">SUM(E3:E22)</f>
        <v>61</v>
      </c>
      <c r="F23" s="84" t="n">
        <f aca="false">SUM(F3:F22)</f>
        <v>38</v>
      </c>
      <c r="G23" s="23"/>
      <c r="H23" s="2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2026-04-22T07:27:39Z</dcterms:created>
  <dc:creator>openpyxl</dc:creator>
  <dc:description/>
  <dc:language>en-US</dc:language>
  <cp:lastModifiedBy/>
  <dcterms:modified xsi:type="dcterms:W3CDTF">2026-04-22T07:27:39Z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