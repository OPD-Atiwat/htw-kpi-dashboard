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M Model Jul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<sst xmlns="http://schemas.openxmlformats.org/spreadsheetml/2006/main" count="31" uniqueCount="31">
  <si>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GM Model — เป้ายอดขาย Online กรกฎาคม 2026</t>
  </si>
  <si>
    <t xml:space="preserve">%GM อิง Dashboard มิ.ย. MTD รายเล่ม | ถือไพ่ = BEP 25% (เพิ่งเปิดตัว ก.ค. ไม่มียอด มิ.ย.) | ช่องสีน้ำเงิน = ปรับได้</t>
  </si>
  <si>
    <t xml:space="preserve">เล่ม</t>
  </si>
  <si>
    <t xml:space="preserve">Units</t>
  </si>
  <si>
    <t xml:space="preserve">ราคา/เล่ม</t>
  </si>
  <si>
    <t xml:space="preserve">ยอดขาย</t>
  </si>
  <si>
    <t xml:space="preserve">%GM</t>
  </si>
  <si>
    <t xml:space="preserve">GM ฿</t>
  </si>
  <si>
    <t xml:space="preserve">ออฟฟิศนี้เฮงซวย (สัตว์)</t>
  </si>
  <si>
    <t xml:space="preserve">ถือไพ่เหนือกว่า ด้วยวิชาอ่านใจ</t>
  </si>
  <si>
    <t xml:space="preserve">กับดักความรู้สึกผิด</t>
  </si>
  <si>
    <t xml:space="preserve">ปีศาจตัวนั้น คือฉันเอง A Guide to Fighting the Demons in My Heart</t>
  </si>
  <si>
    <t xml:space="preserve">ปีศาจตัวนั้น คือฉันเอง 2 A Guide to Overcoming the Return of the Demons</t>
  </si>
  <si>
    <t xml:space="preserve">The Witches' Club ชมรมลับเปลี่ยนชีวิต</t>
  </si>
  <si>
    <t xml:space="preserve">Ghostly Brews ยินดีบริการดวงวิญญาณหลังเที่ยงคืน</t>
  </si>
  <si>
    <t xml:space="preserve">ถ้าโลกมันแย่ ก็แค่คิดแบบคาปิบาร่า Think Like a Happybara</t>
  </si>
  <si>
    <t xml:space="preserve">ขอใช้ชีวิตที่เหลือ เพื่อตัวเองนะ</t>
  </si>
  <si>
    <t xml:space="preserve">ฉันจะมีชีวิตที่ดี</t>
  </si>
  <si>
    <t xml:space="preserve">Ghostly Remains ปลดพันธนาการดวงวิญญาณหลังความตาย</t>
  </si>
  <si>
    <t xml:space="preserve">วันไหนที่ใจแข็งแรง ดอกไม้จะผลิบาน The Enchanted Garden</t>
  </si>
  <si>
    <t xml:space="preserve">ปีศาจความรักมักเลือกฉันเป็นเหยื่อ How to Fight the Love Demon in My Heart</t>
  </si>
  <si>
    <t xml:space="preserve">กว่าจะคิดได้ ก็ไม่มีลมหายใจแล้ว (It Is Never Too Late to Love Yourself)</t>
  </si>
  <si>
    <t xml:space="preserve">ความลับสู่เงินล้านที่โรงเรียนไม่เคยสอน (The Millionaire's Top Secret)</t>
  </si>
  <si>
    <t xml:space="preserve">เหนื่อยมากไหม พักก่อนก็ได้นะวันนี้</t>
  </si>
  <si>
    <t xml:space="preserve">ยินดีต้อนรับและขอบคุณที่กลับมา</t>
  </si>
  <si>
    <t xml:space="preserve">เมื่อโลกทั้งใบซ่อนอยู่ใต้หมวกกันน็อก (Helmet Girl)</t>
  </si>
  <si>
    <t xml:space="preserve">ทุกความทรงจำคือของขวัญจากวันวาน</t>
  </si>
  <si>
    <t xml:space="preserve">ชีวิตมีเรื่องให้ขอบคุณมากกว่าเสียใจ</t>
  </si>
  <si>
    <t xml:space="preserve">รวม Online</t>
  </si>
  <si>
    <t xml:space="preserve">Consignment (ฝากขาย)</t>
  </si>
  <si>
    <t xml:space="preserve">TOTAL MARGIN (Online + Consign)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</si>
</sst>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฿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4437</v>
      </c>
      <c r="C5" s="6" t="n">
        <v>311</v>
      </c>
      <c r="D5" s="7" t="n">
        <f aca="false">B5*C5</f>
        <v>1379907</v>
      </c>
      <c r="E5" s="8" t="n">
        <v>0.0956</v>
      </c>
      <c r="F5" s="7" t="n">
        <f aca="false">D5*E5</f>
        <v>131919.1092</v>
      </c>
    </row>
    <row r="6" customFormat="false" ht="15" hidden="false" customHeight="false" outlineLevel="0" collapsed="false">
      <c r="A6" s="4" t="s">
        <v>9</v>
      </c>
      <c r="B6" s="5" t="n">
        <v>3185</v>
      </c>
      <c r="C6" s="6" t="n">
        <v>314</v>
      </c>
      <c r="D6" s="7" t="n">
        <f aca="false">B6*C6</f>
        <v>1000090</v>
      </c>
      <c r="E6" s="8" t="n">
        <v>0.25</v>
      </c>
      <c r="F6" s="7" t="n">
        <f aca="false">D6*E6</f>
        <v>250022.5</v>
      </c>
    </row>
    <row r="7" customFormat="false" ht="15" hidden="false" customHeight="false" outlineLevel="0" collapsed="false">
      <c r="A7" s="4" t="s">
        <v>10</v>
      </c>
      <c r="B7" s="5" t="n">
        <v>2833</v>
      </c>
      <c r="C7" s="6" t="n">
        <v>347</v>
      </c>
      <c r="D7" s="7" t="n">
        <f aca="false">B7*C7</f>
        <v>983051</v>
      </c>
      <c r="E7" s="8" t="n">
        <v>0.0864</v>
      </c>
      <c r="F7" s="7" t="n">
        <f aca="false">D7*E7</f>
        <v>84935.6064</v>
      </c>
    </row>
    <row r="8" customFormat="false" ht="23.85" hidden="false" customHeight="false" outlineLevel="0" collapsed="false">
      <c r="A8" s="4" t="s">
        <v>11</v>
      </c>
      <c r="B8" s="5" t="n">
        <v>3239</v>
      </c>
      <c r="C8" s="6" t="n">
        <v>247</v>
      </c>
      <c r="D8" s="7" t="n">
        <f aca="false">B8*C8</f>
        <v>800033</v>
      </c>
      <c r="E8" s="8" t="n">
        <v>0.0347</v>
      </c>
      <c r="F8" s="7" t="n">
        <f aca="false">D8*E8</f>
        <v>27761.1451</v>
      </c>
    </row>
    <row r="9" customFormat="false" ht="23.85" hidden="false" customHeight="false" outlineLevel="0" collapsed="false">
      <c r="A9" s="4" t="s">
        <v>12</v>
      </c>
      <c r="B9" s="5" t="n">
        <v>685</v>
      </c>
      <c r="C9" s="6" t="n">
        <v>251</v>
      </c>
      <c r="D9" s="7" t="n">
        <f aca="false">B9*C9</f>
        <v>171935</v>
      </c>
      <c r="E9" s="8" t="n">
        <v>0.1742</v>
      </c>
      <c r="F9" s="7" t="n">
        <f aca="false">D9*E9</f>
        <v>29951.077</v>
      </c>
    </row>
    <row r="10" customFormat="false" ht="15" hidden="false" customHeight="false" outlineLevel="0" collapsed="false">
      <c r="A10" s="4" t="s">
        <v>13</v>
      </c>
      <c r="B10" s="5" t="n">
        <v>647</v>
      </c>
      <c r="C10" s="6" t="n">
        <v>266</v>
      </c>
      <c r="D10" s="7" t="n">
        <f aca="false">B10*C10</f>
        <v>172102</v>
      </c>
      <c r="E10" s="8" t="n">
        <v>0.1116</v>
      </c>
      <c r="F10" s="7" t="n">
        <f aca="false">D10*E10</f>
        <v>19206.5832</v>
      </c>
    </row>
    <row r="11" customFormat="false" ht="23.85" hidden="false" customHeight="false" outlineLevel="0" collapsed="false">
      <c r="A11" s="4" t="s">
        <v>14</v>
      </c>
      <c r="B11" s="5" t="n">
        <v>557</v>
      </c>
      <c r="C11" s="6" t="n">
        <v>246</v>
      </c>
      <c r="D11" s="7" t="n">
        <f aca="false">B11*C11</f>
        <v>137022</v>
      </c>
      <c r="E11" s="8" t="n">
        <v>-0.0185</v>
      </c>
      <c r="F11" s="7" t="n">
        <f aca="false">D11*E11</f>
        <v>-2534.907</v>
      </c>
    </row>
    <row r="12" customFormat="false" ht="23.85" hidden="false" customHeight="false" outlineLevel="0" collapsed="false">
      <c r="A12" s="4" t="s">
        <v>15</v>
      </c>
      <c r="B12" s="5" t="n">
        <v>271</v>
      </c>
      <c r="C12" s="6" t="n">
        <v>203</v>
      </c>
      <c r="D12" s="7" t="n">
        <f aca="false">B12*C12</f>
        <v>55013</v>
      </c>
      <c r="E12" s="8" t="n">
        <v>0.065</v>
      </c>
      <c r="F12" s="7" t="n">
        <f aca="false">D12*E12</f>
        <v>3575.845</v>
      </c>
    </row>
    <row r="13" customFormat="false" ht="15" hidden="false" customHeight="false" outlineLevel="0" collapsed="false">
      <c r="A13" s="4" t="s">
        <v>16</v>
      </c>
      <c r="B13" s="5" t="n">
        <v>175</v>
      </c>
      <c r="C13" s="6" t="n">
        <v>274</v>
      </c>
      <c r="D13" s="7" t="n">
        <f aca="false">B13*C13</f>
        <v>47950</v>
      </c>
      <c r="E13" s="8" t="n">
        <v>0.0292</v>
      </c>
      <c r="F13" s="7" t="n">
        <f aca="false">D13*E13</f>
        <v>1400.14</v>
      </c>
    </row>
    <row r="14" customFormat="false" ht="15" hidden="false" customHeight="false" outlineLevel="0" collapsed="false">
      <c r="A14" s="4" t="s">
        <v>17</v>
      </c>
      <c r="B14" s="5" t="n">
        <v>192</v>
      </c>
      <c r="C14" s="6" t="n">
        <v>239</v>
      </c>
      <c r="D14" s="7" t="n">
        <f aca="false">B14*C14</f>
        <v>45888</v>
      </c>
      <c r="E14" s="8" t="n">
        <v>0.0541</v>
      </c>
      <c r="F14" s="7" t="n">
        <f aca="false">D14*E14</f>
        <v>2482.5408</v>
      </c>
    </row>
    <row r="15" customFormat="false" ht="23.85" hidden="false" customHeight="false" outlineLevel="0" collapsed="false">
      <c r="A15" s="4" t="s">
        <v>18</v>
      </c>
      <c r="B15" s="5" t="n">
        <v>154</v>
      </c>
      <c r="C15" s="6" t="n">
        <v>266</v>
      </c>
      <c r="D15" s="7" t="n">
        <f aca="false">B15*C15</f>
        <v>40964</v>
      </c>
      <c r="E15" s="8" t="n">
        <v>0.1868</v>
      </c>
      <c r="F15" s="7" t="n">
        <f aca="false">D15*E15</f>
        <v>7652.0752</v>
      </c>
    </row>
    <row r="16" customFormat="false" ht="23.85" hidden="false" customHeight="false" outlineLevel="0" collapsed="false">
      <c r="A16" s="4" t="s">
        <v>19</v>
      </c>
      <c r="B16" s="5" t="n">
        <v>125</v>
      </c>
      <c r="C16" s="6" t="n">
        <v>273</v>
      </c>
      <c r="D16" s="7" t="n">
        <f aca="false">B16*C16</f>
        <v>34125</v>
      </c>
      <c r="E16" s="8" t="n">
        <v>0.1846</v>
      </c>
      <c r="F16" s="7" t="n">
        <f aca="false">D16*E16</f>
        <v>6299.475</v>
      </c>
    </row>
    <row r="17" customFormat="false" ht="23.85" hidden="false" customHeight="false" outlineLevel="0" collapsed="false">
      <c r="A17" s="4" t="s">
        <v>20</v>
      </c>
      <c r="B17" s="5" t="n">
        <v>89</v>
      </c>
      <c r="C17" s="6" t="n">
        <v>270</v>
      </c>
      <c r="D17" s="7" t="n">
        <f aca="false">B17*C17</f>
        <v>24030</v>
      </c>
      <c r="E17" s="8" t="n">
        <v>0.1388</v>
      </c>
      <c r="F17" s="7" t="n">
        <f aca="false">D17*E17</f>
        <v>3335.364</v>
      </c>
    </row>
    <row r="18" customFormat="false" ht="23.85" hidden="false" customHeight="false" outlineLevel="0" collapsed="false">
      <c r="A18" s="4" t="s">
        <v>21</v>
      </c>
      <c r="B18" s="5" t="n">
        <v>122</v>
      </c>
      <c r="C18" s="6" t="n">
        <v>196</v>
      </c>
      <c r="D18" s="7" t="n">
        <f aca="false">B18*C18</f>
        <v>23912</v>
      </c>
      <c r="E18" s="8" t="n">
        <v>-0.0588</v>
      </c>
      <c r="F18" s="7" t="n">
        <f aca="false">D18*E18</f>
        <v>-1406.0256</v>
      </c>
    </row>
    <row r="19" customFormat="false" ht="23.85" hidden="false" customHeight="false" outlineLevel="0" collapsed="false">
      <c r="A19" s="4" t="s">
        <v>22</v>
      </c>
      <c r="B19" s="5" t="n">
        <v>122</v>
      </c>
      <c r="C19" s="6" t="n">
        <v>197</v>
      </c>
      <c r="D19" s="7" t="n">
        <f aca="false">B19*C19</f>
        <v>24034</v>
      </c>
      <c r="E19" s="8" t="n">
        <v>-0.1954</v>
      </c>
      <c r="F19" s="7" t="n">
        <f aca="false">D19*E19</f>
        <v>-4696.2436</v>
      </c>
    </row>
    <row r="20" customFormat="false" ht="15" hidden="false" customHeight="false" outlineLevel="0" collapsed="false">
      <c r="A20" s="4" t="s">
        <v>23</v>
      </c>
      <c r="B20" s="5" t="n">
        <v>44</v>
      </c>
      <c r="C20" s="6" t="n">
        <v>390</v>
      </c>
      <c r="D20" s="7" t="n">
        <f aca="false">B20*C20</f>
        <v>17160</v>
      </c>
      <c r="E20" s="8" t="n">
        <v>0.6049</v>
      </c>
      <c r="F20" s="7" t="n">
        <f aca="false">D20*E20</f>
        <v>10380.084</v>
      </c>
    </row>
    <row r="21" customFormat="false" ht="15" hidden="false" customHeight="false" outlineLevel="0" collapsed="false">
      <c r="A21" s="4" t="s">
        <v>24</v>
      </c>
      <c r="B21" s="5" t="n">
        <v>92</v>
      </c>
      <c r="C21" s="6" t="n">
        <v>184</v>
      </c>
      <c r="D21" s="7" t="n">
        <f aca="false">B21*C21</f>
        <v>16928</v>
      </c>
      <c r="E21" s="8" t="n">
        <v>-0.2006</v>
      </c>
      <c r="F21" s="7" t="n">
        <f aca="false">D21*E21</f>
        <v>-3395.7568</v>
      </c>
    </row>
    <row r="22" customFormat="false" ht="23.85" hidden="false" customHeight="false" outlineLevel="0" collapsed="false">
      <c r="A22" s="4" t="s">
        <v>25</v>
      </c>
      <c r="B22" s="5" t="n">
        <v>40</v>
      </c>
      <c r="C22" s="6" t="n">
        <v>300</v>
      </c>
      <c r="D22" s="7" t="n">
        <f aca="false">B22*C22</f>
        <v>12000</v>
      </c>
      <c r="E22" s="8" t="n">
        <v>0.339</v>
      </c>
      <c r="F22" s="7" t="n">
        <f aca="false">D22*E22</f>
        <v>4068</v>
      </c>
    </row>
    <row r="23" customFormat="false" ht="15" hidden="false" customHeight="false" outlineLevel="0" collapsed="false">
      <c r="A23" s="4" t="s">
        <v>26</v>
      </c>
      <c r="B23" s="5" t="n">
        <v>41</v>
      </c>
      <c r="C23" s="6" t="n">
        <v>219</v>
      </c>
      <c r="D23" s="7" t="n">
        <f aca="false">B23*C23</f>
        <v>8979</v>
      </c>
      <c r="E23" s="8" t="n">
        <v>-0.021</v>
      </c>
      <c r="F23" s="7" t="n">
        <f aca="false">D23*E23</f>
        <v>-188.559</v>
      </c>
    </row>
    <row r="24" customFormat="false" ht="15" hidden="false" customHeight="false" outlineLevel="0" collapsed="false">
      <c r="A24" s="4" t="s">
        <v>27</v>
      </c>
      <c r="B24" s="5" t="n">
        <v>22</v>
      </c>
      <c r="C24" s="6" t="n">
        <v>230</v>
      </c>
      <c r="D24" s="7" t="n">
        <f aca="false">B24*C24</f>
        <v>5060</v>
      </c>
      <c r="E24" s="8" t="n">
        <v>0.2974</v>
      </c>
      <c r="F24" s="7" t="n">
        <f aca="false">D24*E24</f>
        <v>1504.844</v>
      </c>
    </row>
    <row r="25" customFormat="false" ht="15" hidden="false" customHeight="false" outlineLevel="0" collapsed="false">
      <c r="A25" s="9" t="s">
        <v>28</v>
      </c>
      <c r="B25" s="10" t="n">
        <f aca="false">SUM(B5:B24)</f>
        <v>17072</v>
      </c>
      <c r="C25" s="11"/>
      <c r="D25" s="12" t="n">
        <f aca="false">SUM(D5:D24)</f>
        <v>5000183</v>
      </c>
      <c r="E25" s="13" t="n">
        <f aca="false">F25/D25</f>
        <v>0.114450390495708</v>
      </c>
      <c r="F25" s="12" t="n">
        <f aca="false">SUM(F5:F24)</f>
        <v>572272.8969</v>
      </c>
    </row>
    <row r="27" customFormat="false" ht="15" hidden="false" customHeight="false" outlineLevel="0" collapsed="false">
      <c r="A27" s="14" t="s">
        <v>29</v>
      </c>
      <c r="D27" s="6" t="n">
        <v>1630000</v>
      </c>
      <c r="E27" s="8" t="n">
        <v>0.35</v>
      </c>
      <c r="F27" s="7" t="n">
        <f aca="false">D27*E27</f>
        <v>570500</v>
      </c>
    </row>
    <row r="28" customFormat="false" ht="15" hidden="false" customHeight="false" outlineLevel="0" collapsed="false">
      <c r="A28" s="15" t="s">
        <v>30</v>
      </c>
      <c r="B28" s="16"/>
      <c r="C28" s="16"/>
      <c r="D28" s="17" t="n">
        <f aca="false">D25+D27</f>
        <v>6630183</v>
      </c>
      <c r="E28" s="16"/>
      <c r="F28" s="17" t="n">
        <f aca="false">F25+F27</f>
        <v>1142772.8969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2026-06-29T09:45:49Z</dcterms:created>
  <dc:creator>openpyxl</dc:creator>
  <dc:description/>
  <dc:language>en-US</dc:language>
  <cp:lastModifiedBy/>
  <dcterms:modified xsi:type="dcterms:W3CDTF">2026-06-29T09:45:49Z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