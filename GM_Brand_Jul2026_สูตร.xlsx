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ss รายเล่ม ก.ค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฿&quot;#,##0"/>
    <numFmt numFmtId="165" formatCode="0.0%"/>
    <numFmt numFmtId="166" formatCode="&quot;฿&quot;#,##0;[Red](&quot;฿&quot;#,##0)"/>
  </numFmts>
  <fonts count="8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  <font>
      <name val="Tahoma"/>
      <color rgb="001155CC"/>
      <sz val="10"/>
    </font>
    <font>
      <name val="Tahoma"/>
      <color rgb="002E7D32"/>
      <sz val="9"/>
    </font>
    <font>
      <name val="Tahoma"/>
      <color rgb="009CA3AF"/>
      <sz val="10"/>
    </font>
    <font>
      <name val="Tahoma"/>
      <b val="1"/>
      <sz val="10"/>
    </font>
    <font>
      <name val="Tahoma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3" fontId="2" fillId="0" borderId="1" pivotButton="0" quotePrefix="0" xfId="0"/>
    <xf numFmtId="166" fontId="2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pivotButton="0" quotePrefix="0" xfId="0"/>
    <xf numFmtId="165" fontId="6" fillId="3" borderId="1" pivotButton="0" quotePrefix="0" xfId="0"/>
    <xf numFmtId="164" fontId="6" fillId="3" borderId="1" pivotButton="0" quotePrefix="0" xfId="0"/>
    <xf numFmtId="3" fontId="6" fillId="3" borderId="1" pivotButton="0" quotePrefix="0" xfId="0"/>
    <xf numFmtId="166" fontId="6" fillId="3" borderId="1" pivotButton="0" quotePrefix="0" xfId="0"/>
    <xf numFmtId="0" fontId="6" fillId="0" borderId="1" pivotButton="0" quotePrefix="0" xfId="0"/>
    <xf numFmtId="166" fontId="0" fillId="0" borderId="1" pivotButton="0" quotePrefix="0" xfId="0"/>
    <xf numFmtId="0" fontId="7" fillId="4" borderId="1" pivotButton="0" quotePrefix="0" xfId="0"/>
    <xf numFmtId="165" fontId="7" fillId="4" borderId="1" pivotButton="0" quotePrefix="0" xfId="0"/>
    <xf numFmtId="164" fontId="7" fillId="4" borderId="1" pivotButton="0" quotePrefix="0" xfId="0"/>
    <xf numFmtId="166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6" customWidth="1" min="4" max="4"/>
    <col width="9" customWidth="1" min="5" max="5"/>
    <col width="14" customWidth="1" min="6" max="6"/>
    <col width="15" customWidth="1" min="7" max="7"/>
    <col width="18" customWidth="1" min="8" max="8"/>
  </cols>
  <sheetData>
    <row r="1">
      <c r="A1" s="1" t="inlineStr">
        <is>
          <t>เล่ม</t>
        </is>
      </c>
      <c r="B1" s="1" t="inlineStr">
        <is>
          <t>ราคา/เล่ม (฿)</t>
        </is>
      </c>
      <c r="C1" s="1" t="inlineStr">
        <is>
          <t>GM% (เฉลี่ย 3 ช่อง)</t>
        </is>
      </c>
      <c r="D1" s="1" t="inlineStr">
        <is>
          <t>เป้ายอด ก.ค. (฿)</t>
        </is>
      </c>
      <c r="E1" s="1" t="inlineStr">
        <is>
          <t>Units</t>
        </is>
      </c>
      <c r="F1" s="1" t="inlineStr">
        <is>
          <t>GM (฿)</t>
        </is>
      </c>
      <c r="G1" s="1" t="inlineStr">
        <is>
          <t>BEP floor FB+SH</t>
        </is>
      </c>
      <c r="H1" s="1" t="inlineStr">
        <is>
          <t>สถานะ floor</t>
        </is>
      </c>
    </row>
    <row r="2">
      <c r="A2" s="2" t="inlineStr">
        <is>
          <t>ออฟฟิศนี้เฮงซวย (สัตว์)</t>
        </is>
      </c>
      <c r="B2" s="3" t="n">
        <v>305</v>
      </c>
      <c r="C2" s="4" t="n">
        <v>0.038</v>
      </c>
      <c r="D2" s="3" t="n">
        <v>1500000</v>
      </c>
      <c r="E2" s="5" t="n">
        <v>4918</v>
      </c>
      <c r="F2" s="6">
        <f>D2*C2</f>
        <v/>
      </c>
      <c r="G2" s="7" t="n">
        <v>1500000</v>
      </c>
      <c r="H2" s="8">
        <f>IF(D2&gt;=G2,"✓ ผ่าน floor","⚠ ต่ำกว่า floor")</f>
        <v/>
      </c>
    </row>
    <row r="3">
      <c r="A3" s="2" t="inlineStr">
        <is>
          <t>ถือไพ่เหนือกว่า ด้วยวิชาอ่านใจ (ใหม่·BEP)</t>
        </is>
      </c>
      <c r="B3" s="3" t="n">
        <v>300</v>
      </c>
      <c r="C3" s="4" t="n">
        <v>0.05</v>
      </c>
      <c r="D3" s="3" t="n">
        <v>813000</v>
      </c>
      <c r="E3" s="5" t="n">
        <v>2710</v>
      </c>
      <c r="F3" s="6">
        <f>D3*C3</f>
        <v/>
      </c>
      <c r="G3" s="7" t="n">
        <v>813000</v>
      </c>
      <c r="H3" s="8">
        <f>IF(D3&gt;=G3,"✓ ผ่าน floor","⚠ ต่ำกว่า floor")</f>
        <v/>
      </c>
    </row>
    <row r="4">
      <c r="A4" s="2" t="inlineStr">
        <is>
          <t>กับดักความรู้สึกผิด</t>
        </is>
      </c>
      <c r="B4" s="3" t="n">
        <v>339</v>
      </c>
      <c r="C4" s="4" t="n">
        <v>0.0172</v>
      </c>
      <c r="D4" s="3" t="n">
        <v>1679000</v>
      </c>
      <c r="E4" s="5" t="n">
        <v>4953</v>
      </c>
      <c r="F4" s="6">
        <f>D4*C4</f>
        <v/>
      </c>
      <c r="G4" s="7" t="n">
        <v>1000000</v>
      </c>
      <c r="H4" s="8">
        <f>IF(D4&gt;=G4,"✓ ผ่าน floor","⚠ ต่ำกว่า floor")</f>
        <v/>
      </c>
    </row>
    <row r="5">
      <c r="A5" s="2" t="inlineStr">
        <is>
          <t>ปีศาจตัวนั้น คือฉันเอง A Guide to Fighting the Demons in My Heart</t>
        </is>
      </c>
      <c r="B5" s="3" t="n">
        <v>242</v>
      </c>
      <c r="C5" s="4" t="n">
        <v>0.0157</v>
      </c>
      <c r="D5" s="3" t="n">
        <v>858000</v>
      </c>
      <c r="E5" s="5" t="n">
        <v>3545</v>
      </c>
      <c r="F5" s="6">
        <f>D5*C5</f>
        <v/>
      </c>
      <c r="G5" s="9" t="inlineStr">
        <is>
          <t>–</t>
        </is>
      </c>
      <c r="H5" s="10" t="n"/>
    </row>
    <row r="6">
      <c r="A6" s="2" t="inlineStr">
        <is>
          <t>ปีศาจตัวนั้น คือฉันเอง 2 A Guide to Overcoming the Return of the Demons</t>
        </is>
      </c>
      <c r="B6" s="3" t="n">
        <v>245</v>
      </c>
      <c r="C6" s="4" t="n">
        <v>0.096</v>
      </c>
      <c r="D6" s="3" t="n">
        <v>197000</v>
      </c>
      <c r="E6" s="5" t="n">
        <v>804</v>
      </c>
      <c r="F6" s="6">
        <f>D6*C6</f>
        <v/>
      </c>
      <c r="G6" s="9" t="inlineStr">
        <is>
          <t>–</t>
        </is>
      </c>
      <c r="H6" s="10" t="n"/>
    </row>
    <row r="7">
      <c r="A7" s="2" t="inlineStr">
        <is>
          <t>Ghostly Brews ยินดีบริการดวงวิญญาณหลังเที่ยงคืน</t>
        </is>
      </c>
      <c r="B7" s="3" t="n">
        <v>243</v>
      </c>
      <c r="C7" s="4" t="n">
        <v>-0.061</v>
      </c>
      <c r="D7" s="3" t="n">
        <v>298000</v>
      </c>
      <c r="E7" s="5" t="n">
        <v>1226</v>
      </c>
      <c r="F7" s="6">
        <f>D7*C7</f>
        <v/>
      </c>
      <c r="G7" s="9" t="inlineStr">
        <is>
          <t>–</t>
        </is>
      </c>
      <c r="H7" s="10" t="n"/>
    </row>
    <row r="8">
      <c r="A8" s="2" t="inlineStr">
        <is>
          <t>ขอใช้ชีวิตที่เหลือ เพื่อตัวเองนะ</t>
        </is>
      </c>
      <c r="B8" s="3" t="n">
        <v>275</v>
      </c>
      <c r="C8" s="4" t="n">
        <v>-0.0589</v>
      </c>
      <c r="D8" s="3" t="n">
        <v>212000</v>
      </c>
      <c r="E8" s="5" t="n">
        <v>771</v>
      </c>
      <c r="F8" s="6">
        <f>D8*C8</f>
        <v/>
      </c>
      <c r="G8" s="9" t="inlineStr">
        <is>
          <t>–</t>
        </is>
      </c>
      <c r="H8" s="10" t="n"/>
    </row>
    <row r="9">
      <c r="A9" s="2" t="inlineStr">
        <is>
          <t>The Witches' Club ชมรมลับเปลี่ยนชีวิต</t>
        </is>
      </c>
      <c r="B9" s="3" t="n">
        <v>365</v>
      </c>
      <c r="C9" s="4" t="n">
        <v>0.1086</v>
      </c>
      <c r="D9" s="3" t="n">
        <v>192000</v>
      </c>
      <c r="E9" s="5" t="n">
        <v>526</v>
      </c>
      <c r="F9" s="6">
        <f>D9*C9</f>
        <v/>
      </c>
      <c r="G9" s="9" t="inlineStr">
        <is>
          <t>–</t>
        </is>
      </c>
      <c r="H9" s="10" t="n"/>
    </row>
    <row r="10">
      <c r="A10" s="2" t="inlineStr">
        <is>
          <t>กว่าจะคิดได้ ก็ไม่มีลมหายใจแล้ว</t>
        </is>
      </c>
      <c r="B10" s="3" t="n">
        <v>194</v>
      </c>
      <c r="C10" s="4" t="n">
        <v>-0.1184</v>
      </c>
      <c r="D10" s="3" t="n">
        <v>139000</v>
      </c>
      <c r="E10" s="5" t="n">
        <v>716</v>
      </c>
      <c r="F10" s="6">
        <f>D10*C10</f>
        <v/>
      </c>
      <c r="G10" s="9" t="inlineStr">
        <is>
          <t>–</t>
        </is>
      </c>
      <c r="H10" s="10" t="n"/>
    </row>
    <row r="11">
      <c r="A11" s="2" t="inlineStr">
        <is>
          <t>Ghostly Remains ปลดพันธนาการดวงวิญญาณหลังความตาย</t>
        </is>
      </c>
      <c r="B11" s="3" t="n">
        <v>258</v>
      </c>
      <c r="C11" s="4" t="n">
        <v>0.0803</v>
      </c>
      <c r="D11" s="3" t="n">
        <v>115000</v>
      </c>
      <c r="E11" s="5" t="n">
        <v>446</v>
      </c>
      <c r="F11" s="6">
        <f>D11*C11</f>
        <v/>
      </c>
      <c r="G11" s="9" t="inlineStr">
        <is>
          <t>–</t>
        </is>
      </c>
      <c r="H11" s="10" t="n"/>
    </row>
    <row r="12">
      <c r="A12" s="2" t="inlineStr">
        <is>
          <t>ถ้าโลกมันแย่ ก็แค่คิดแบบคาปิบาร่า Think Like a Happybara</t>
        </is>
      </c>
      <c r="B12" s="3" t="n">
        <v>230</v>
      </c>
      <c r="C12" s="4" t="n">
        <v>0.0155</v>
      </c>
      <c r="D12" s="3" t="n">
        <v>111000</v>
      </c>
      <c r="E12" s="5" t="n">
        <v>483</v>
      </c>
      <c r="F12" s="6">
        <f>D12*C12</f>
        <v/>
      </c>
      <c r="G12" s="9" t="inlineStr">
        <is>
          <t>–</t>
        </is>
      </c>
      <c r="H12" s="10" t="n"/>
    </row>
    <row r="13">
      <c r="A13" s="2" t="inlineStr">
        <is>
          <t>วันไหนที่ใจแข็งแรง ดอกไม้จะผลิบาน The Enchanted Garden</t>
        </is>
      </c>
      <c r="B13" s="3" t="n">
        <v>272</v>
      </c>
      <c r="C13" s="4" t="n">
        <v>0.3484</v>
      </c>
      <c r="D13" s="3" t="n">
        <v>81000</v>
      </c>
      <c r="E13" s="5" t="n">
        <v>298</v>
      </c>
      <c r="F13" s="6">
        <f>D13*C13</f>
        <v/>
      </c>
      <c r="G13" s="9" t="inlineStr">
        <is>
          <t>–</t>
        </is>
      </c>
      <c r="H13" s="10" t="n"/>
    </row>
    <row r="14">
      <c r="A14" s="2" t="inlineStr">
        <is>
          <t>ปีศาจความรักมักเลือกฉันเป็นเหยื่อ How to Fight the Love Demon in My Heart</t>
        </is>
      </c>
      <c r="B14" s="3" t="n">
        <v>272</v>
      </c>
      <c r="C14" s="4" t="n">
        <v>0.0316</v>
      </c>
      <c r="D14" s="3" t="n">
        <v>57000</v>
      </c>
      <c r="E14" s="5" t="n">
        <v>210</v>
      </c>
      <c r="F14" s="6">
        <f>D14*C14</f>
        <v/>
      </c>
      <c r="G14" s="9" t="inlineStr">
        <is>
          <t>–</t>
        </is>
      </c>
      <c r="H14" s="10" t="n"/>
    </row>
    <row r="15">
      <c r="A15" s="2" t="inlineStr">
        <is>
          <t>ยินดีต้อนรับและขอบคุณที่กลับมา</t>
        </is>
      </c>
      <c r="B15" s="3" t="n">
        <v>180</v>
      </c>
      <c r="C15" s="4" t="n">
        <v>-0.2814</v>
      </c>
      <c r="D15" s="3" t="n">
        <v>54000</v>
      </c>
      <c r="E15" s="5" t="n">
        <v>300</v>
      </c>
      <c r="F15" s="6">
        <f>D15*C15</f>
        <v/>
      </c>
      <c r="G15" s="9" t="inlineStr">
        <is>
          <t>–</t>
        </is>
      </c>
      <c r="H15" s="10" t="n"/>
    </row>
    <row r="16">
      <c r="A16" s="2" t="inlineStr">
        <is>
          <t>ฉันจะมีชีวิตที่ดี</t>
        </is>
      </c>
      <c r="B16" s="3" t="n">
        <v>240</v>
      </c>
      <c r="C16" s="4" t="n">
        <v>0.0098</v>
      </c>
      <c r="D16" s="3" t="n">
        <v>50000</v>
      </c>
      <c r="E16" s="5" t="n">
        <v>208</v>
      </c>
      <c r="F16" s="6">
        <f>D16*C16</f>
        <v/>
      </c>
      <c r="G16" s="9" t="inlineStr">
        <is>
          <t>–</t>
        </is>
      </c>
      <c r="H16" s="10" t="n"/>
    </row>
    <row r="17">
      <c r="A17" s="2" t="inlineStr">
        <is>
          <t>ความลับสู่เงินล้านที่โรงเรียนไม่เคยสอน (The Millionaire's Top Secret)</t>
        </is>
      </c>
      <c r="B17" s="3" t="n">
        <v>197</v>
      </c>
      <c r="C17" s="4" t="n">
        <v>-0.07530000000000001</v>
      </c>
      <c r="D17" s="3" t="n">
        <v>30000</v>
      </c>
      <c r="E17" s="5" t="n">
        <v>152</v>
      </c>
      <c r="F17" s="6">
        <f>D17*C17</f>
        <v/>
      </c>
      <c r="G17" s="9" t="inlineStr">
        <is>
          <t>–</t>
        </is>
      </c>
      <c r="H17" s="10" t="n"/>
    </row>
    <row r="18">
      <c r="A18" s="2" t="inlineStr">
        <is>
          <t>ทุกความทรงจำคือของขวัญจากวันวาน</t>
        </is>
      </c>
      <c r="B18" s="3" t="n">
        <v>190</v>
      </c>
      <c r="C18" s="4" t="n">
        <v>0.1226</v>
      </c>
      <c r="D18" s="3" t="n">
        <v>13000</v>
      </c>
      <c r="E18" s="5" t="n">
        <v>68</v>
      </c>
      <c r="F18" s="6">
        <f>D18*C18</f>
        <v/>
      </c>
      <c r="G18" s="9" t="inlineStr">
        <is>
          <t>–</t>
        </is>
      </c>
      <c r="H18" s="10" t="n"/>
    </row>
    <row r="19">
      <c r="A19" s="2" t="inlineStr">
        <is>
          <t>ชีวิตมีเรื่องให้ขอบคุณมากกว่าเสียใจ</t>
        </is>
      </c>
      <c r="B19" s="3" t="n">
        <v>230</v>
      </c>
      <c r="C19" s="4" t="n">
        <v>0.1897</v>
      </c>
      <c r="D19" s="3" t="n">
        <v>7000</v>
      </c>
      <c r="E19" s="5" t="n">
        <v>30</v>
      </c>
      <c r="F19" s="6">
        <f>D19*C19</f>
        <v/>
      </c>
      <c r="G19" s="9" t="inlineStr">
        <is>
          <t>–</t>
        </is>
      </c>
      <c r="H19" s="10" t="n"/>
    </row>
    <row r="20">
      <c r="A20" s="11" t="inlineStr">
        <is>
          <t>รวม Online</t>
        </is>
      </c>
      <c r="B20" s="11" t="n"/>
      <c r="C20" s="12">
        <f>F20/D20</f>
        <v/>
      </c>
      <c r="D20" s="13">
        <f>SUM(D2:D19)</f>
        <v/>
      </c>
      <c r="E20" s="14">
        <f>SUM(E2:E19)</f>
        <v/>
      </c>
      <c r="F20" s="15">
        <f>SUM(F2:F19)</f>
        <v/>
      </c>
      <c r="G20" s="11" t="n"/>
      <c r="H20" s="11" t="n"/>
    </row>
    <row r="22">
      <c r="A22" s="16" t="inlineStr">
        <is>
          <t>Consignment</t>
        </is>
      </c>
      <c r="B22" s="10" t="n"/>
      <c r="C22" s="4" t="n">
        <v>0.35</v>
      </c>
      <c r="D22" s="3" t="n">
        <v>1630000</v>
      </c>
      <c r="E22" s="10" t="n"/>
      <c r="F22" s="17">
        <f>D22*C22</f>
        <v/>
      </c>
      <c r="G22" s="10" t="n"/>
      <c r="H22" s="10" t="n"/>
    </row>
    <row r="23">
      <c r="A23" s="18" t="inlineStr">
        <is>
          <t>TOTAL MARGIN (Brand)</t>
        </is>
      </c>
      <c r="B23" s="18" t="n"/>
      <c r="C23" s="19">
        <f>F23/D23</f>
        <v/>
      </c>
      <c r="D23" s="20">
        <f>D20+D22</f>
        <v/>
      </c>
      <c r="E23" s="18" t="n"/>
      <c r="F23" s="21">
        <f>F20+F22</f>
        <v/>
      </c>
      <c r="G23" s="18" t="n"/>
      <c r="H23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2026-06-30T03:50:44Z</dcterms:created>
  <dcterms:modified xmlns:dcterms="http://purl.org/dc/terms/" xmlns:xsi="http://www.w3.org/2001/XMLSchema-instance" xsi:type="dcterms:W3CDTF">2026-06-30T03:50:44Z</dcterms:modified>
</cp:coreProperties>
</file>