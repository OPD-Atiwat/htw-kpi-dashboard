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Summary" sheetId="1" state="visible" r:id="rId3"/>
    <sheet name="🟢 ริว" sheetId="2" state="visible" r:id="rId4"/>
    <sheet name="🔵 มิ้น" sheetId="3" state="visible" r:id="rId5"/>
    <sheet name="⚠️ ID not in TT" sheetId="4" state="visible" r:id="rId6"/>
    <sheet name="❌ No ID in KM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<sst xmlns="http://schemas.openxmlformats.org/spreadsheetml/2006/main" count="547" uniqueCount="275">
  <si>
    <t xml:space="preserve">TikTok ID Mapping Report — Mar 2026</t>
  </si>
  <si>
    <t xml:space="preserve">How-to Market  |  ริว &amp; มิ้น  |  VDO Content Only  |  TikTok Export: 20260326</t>
  </si>
  <si>
    <t xml:space="preserve">Metric</t>
  </si>
  <si>
    <t xml:space="preserve">ริว</t>
  </si>
  <si>
    <t xml:space="preserve">มิ้น</t>
  </si>
  <si>
    <t xml:space="preserve">Combined</t>
  </si>
  <si>
    <t xml:space="preserve">Total VDO</t>
  </si>
  <si>
    <t xml:space="preserve">Matched ✅</t>
  </si>
  <si>
    <t xml:space="preserve">ID not in TT ⚠️</t>
  </si>
  <si>
    <t xml:space="preserve">No ID in KMS ❌</t>
  </si>
  <si>
    <t xml:space="preserve">Match Rate</t>
  </si>
  <si>
    <t xml:space="preserve">TT Revenue (฿)</t>
  </si>
  <si>
    <t xml:space="preserve">TT Cost (฿)</t>
  </si>
  <si>
    <t xml:space="preserve">TT SKU Orders</t>
  </si>
  <si>
    <t xml:space="preserve">⚠️ มิ้น Revenue = ฿0: ไฟล์ TikTok export เป็น snapshot 20260326 วิดีโอส่วนใหญ่ยังไม่มี Product Sales ที่ผูกไว้</t>
  </si>
  <si>
    <t xml:space="preserve">⚠️ Matching ใช้ Prefix 15 หลักแรก เนื่องจาก TikTok Video ID (19 หลัก) สูญเสียความแม่นยำเมื่อเก็บเป็น float64 ใน CSV</t>
  </si>
  <si>
    <t xml:space="preserve">TikTok ID Mapping — ริว | VDO Content | Mar 2026</t>
  </si>
  <si>
    <t xml:space="preserve">Total: 35  |  Matched ✅: 26  |  ID not in TT ⚠️: 2  |  No ID in KMS ❌: 7  |  TT Revenue: ฿2,591.17</t>
  </si>
  <si>
    <t xml:space="preserve">Date</t>
  </si>
  <si>
    <t xml:space="preserve">Product</t>
  </si>
  <si>
    <t xml:space="preserve">Key Message</t>
  </si>
  <si>
    <t xml:space="preserve">ID (KMS)</t>
  </si>
  <si>
    <t xml:space="preserve">ID (TT Confirmed)</t>
  </si>
  <si>
    <t xml:space="preserve">Status</t>
  </si>
  <si>
    <t xml:space="preserve">Revenue (฿)</t>
  </si>
  <si>
    <t xml:space="preserve">ROI</t>
  </si>
  <si>
    <t xml:space="preserve">Orders</t>
  </si>
  <si>
    <t xml:space="preserve">Cost (฿)</t>
  </si>
  <si>
    <t xml:space="preserve">New</t>
  </si>
  <si>
    <t xml:space="preserve">Success</t>
  </si>
  <si>
    <t xml:space="preserve">TikTok Link</t>
  </si>
  <si>
    <t xml:space="preserve">Mon,  2, Mar</t>
  </si>
  <si>
    <t xml:space="preserve">กับดักความรู้สึกผิด</t>
  </si>
  <si>
    <t xml:space="preserve">หนังสือเล่มแรก ที่หมออยากทำเพื่ออยากช่วยเหลือคน</t>
  </si>
  <si>
    <t xml:space="preserve">7612593004183932181</t>
  </si>
  <si>
    <t xml:space="preserve">Matched</t>
  </si>
  <si>
    <t xml:space="preserve">https://www.tiktok.com/@opendurianhowto/video/7612593004183932181?_r=1&amp;_t=ZS-94LlNU0yVb2</t>
  </si>
  <si>
    <t xml:space="preserve">ปีศาจตัวนั้น คือฉันเอง A Guide to Fighting the Demons in My Heart</t>
  </si>
  <si>
    <t xml:space="preserve">บทเรียนที่ได้เรียนรู้จากหนังสือเล่มนี้</t>
  </si>
  <si>
    <t xml:space="preserve">7613334290042031380</t>
  </si>
  <si>
    <t xml:space="preserve">https://www.tiktok.com/@opendurianhowto/video/7613334290042031380?_r=1&amp;_t=ZS-94PAltDlBNU</t>
  </si>
  <si>
    <t xml:space="preserve">Tue,  3, Mar</t>
  </si>
  <si>
    <t xml:space="preserve">Ghostly Brews ยินดีบริการดวงวิญญาณหลังเที่ยงคืน</t>
  </si>
  <si>
    <t xml:space="preserve">สิ่งสำคัญไม่เคยส่งเสียงดัง แต่จะหายไปอย่างเงียบ ๆ ถ้าเราลืมใส่ใจมัน</t>
  </si>
  <si>
    <t xml:space="preserve">7613337511619775764</t>
  </si>
  <si>
    <t xml:space="preserve">https://www.tiktok.com/@opendurianhowto/video/7613337511619775764?_r=1&amp;_t=ZS-94PBB4UdEQf</t>
  </si>
  <si>
    <t xml:space="preserve">Wed,  4, Mar</t>
  </si>
  <si>
    <t xml:space="preserve">ปีศาจตัวนั้น คือฉันเอง 2 A Guide to Overcoming the Return of the Demons</t>
  </si>
  <si>
    <t xml:space="preserve">อย่าลืมที่จะเริ่ด</t>
  </si>
  <si>
    <t xml:space="preserve">7613335861307919637</t>
  </si>
  <si>
    <t xml:space="preserve">https://www.tiktok.com/@opendurianhowto/video/7613335861307919637?_r=1&amp;_t=ZS-94PB5l1R2CD</t>
  </si>
  <si>
    <t xml:space="preserve">Thu,  5, Mar</t>
  </si>
  <si>
    <t xml:space="preserve">พรีออเดอร์เล่มลายเซ็น</t>
  </si>
  <si>
    <t xml:space="preserve">No ID in KMS</t>
  </si>
  <si>
    <t xml:space="preserve">Ghostly Remains ปลดพันธนาการดวงวิญญาณหลังความตาย</t>
  </si>
  <si>
    <t xml:space="preserve">หนังสือเหลือ 20 เล่มสุดท้าย</t>
  </si>
  <si>
    <t xml:space="preserve">7613699459574238484</t>
  </si>
  <si>
    <t xml:space="preserve">https://www.tiktok.com/@opendurianhowto/video/7613699459574238484?_r=1&amp;_t=ZS-94QqEbEWjuG</t>
  </si>
  <si>
    <t xml:space="preserve">ริว 329 (หลังบ้าน)</t>
  </si>
  <si>
    <t xml:space="preserve">7613699878018993428</t>
  </si>
  <si>
    <t xml:space="preserve">https://www.tiktok.com/@opendurianhowto/video/7613699878018993428?_r=1&amp;_t=ZS-94QqT5fFRrR</t>
  </si>
  <si>
    <t xml:space="preserve">Fri,  6, Mar</t>
  </si>
  <si>
    <t xml:space="preserve">ความลับสู่เงินล้านที่โรงเรียนไม่เคยสอน (The Millionaire's Top Secret)</t>
  </si>
  <si>
    <t xml:space="preserve">อย่าเป็นคนหน้าตาดี ที่มีปัญหาเรื่องการเงิน</t>
  </si>
  <si>
    <t xml:space="preserve">7614088844710923541</t>
  </si>
  <si>
    <t xml:space="preserve">https://www.tiktok.com/@opendurianhowto/video/7614088844710923541?_r=1&amp;_t=ZS-94Sduss2fky</t>
  </si>
  <si>
    <t xml:space="preserve">Sat,  7, Mar</t>
  </si>
  <si>
    <t xml:space="preserve">วันไหนที่ใจแข็งแรง ดอกไม้จะผลิบาน The Enchanted Garden</t>
  </si>
  <si>
    <t xml:space="preserve">ริวป้ายยาดอกไม้</t>
  </si>
  <si>
    <t xml:space="preserve">Mon,  9, Mar</t>
  </si>
  <si>
    <t xml:space="preserve">ริวซึมเศร้า animation</t>
  </si>
  <si>
    <t xml:space="preserve">7615196438942862613</t>
  </si>
  <si>
    <t xml:space="preserve">https://www.tiktok.com/@opendurianhowto/video/7615196438942862613?_r=1&amp;_t=ZS-94Xgwm0nJ3M</t>
  </si>
  <si>
    <t xml:space="preserve">Tue,  10, Mar</t>
  </si>
  <si>
    <t xml:space="preserve">ริวเพราะในทุกความเกลียด animation</t>
  </si>
  <si>
    <t xml:space="preserve">7615575476660227348</t>
  </si>
  <si>
    <t xml:space="preserve">https://www.tiktok.com/@opendurianhowto/video/7615575476660227348?_r=1&amp;_t=ZS-94ZQwhRn9RU</t>
  </si>
  <si>
    <t xml:space="preserve">Wed,  11, Mar</t>
  </si>
  <si>
    <t xml:space="preserve">กว่าจะคิดได้ ก็ไม่มีลมหายใจแล้ว (It Is Never Too Late to Love Yourself)</t>
  </si>
  <si>
    <t xml:space="preserve">ริวหากตายไป</t>
  </si>
  <si>
    <t xml:space="preserve">7615896225291701525</t>
  </si>
  <si>
    <t xml:space="preserve">https://www.tiktok.com/@opendurianhowto/video/7615896225291701525?_r=1&amp;_t=ZS-94awrA415iW</t>
  </si>
  <si>
    <t xml:space="preserve">Thu,  12, Mar</t>
  </si>
  <si>
    <t xml:space="preserve">ยินดีต้อนรับและขอบคุณที่กลับมา</t>
  </si>
  <si>
    <t xml:space="preserve">ริวน่ารักที่สุดในสามโลก</t>
  </si>
  <si>
    <t xml:space="preserve">7616312565588806932</t>
  </si>
  <si>
    <t xml:space="preserve">https://www.tiktok.com/@opendurianhowto/video/7616312565588806932?_r=1&amp;_t=ZS-94cnq5pR63B</t>
  </si>
  <si>
    <t xml:space="preserve">The Witches' Club ชมรมลับเปลี่ยนชีวิต</t>
  </si>
  <si>
    <t xml:space="preserve">ริวอ่านแล้วโคตรจริง</t>
  </si>
  <si>
    <t xml:space="preserve">7616314181712743701</t>
  </si>
  <si>
    <t xml:space="preserve">https://www.tiktok.com/@opendurianhowto/video/7616314181712743701?_r=1&amp;_t=ZS-94co4z3TZvI</t>
  </si>
  <si>
    <t xml:space="preserve">Fri,  13, Mar</t>
  </si>
  <si>
    <t xml:space="preserve">ริวความสุขเล็ก ๆ (สัมภาษณ์นักเขียน)</t>
  </si>
  <si>
    <t xml:space="preserve">7616660165592403220</t>
  </si>
  <si>
    <t xml:space="preserve">https://www.tiktok.com/@opendurianhowto/video/7616660165592403220?_r=1&amp;_t=ZS-94eP6KhWeU0</t>
  </si>
  <si>
    <t xml:space="preserve">ริวคนที่เรารับแอบไปคุยกับแฟนเก่า</t>
  </si>
  <si>
    <t xml:space="preserve">7616658236913044757</t>
  </si>
  <si>
    <t xml:space="preserve">https://www.tiktok.com/@opendurianhowto/video/7616658236913044757?_r=1&amp;_t=ZS-94eOgyvmnkT</t>
  </si>
  <si>
    <t xml:space="preserve">Sat,  14, Mar</t>
  </si>
  <si>
    <t xml:space="preserve">ขอใช้ชีวิตที่เหลือ เพื่อตัวเองนะ</t>
  </si>
  <si>
    <t xml:space="preserve">ริวมีประโยคหนึ่งที่อยากให้คุณอ่าน</t>
  </si>
  <si>
    <t xml:space="preserve">7616662544828124437</t>
  </si>
  <si>
    <t xml:space="preserve">https://www.tiktok.com/@opendurianhowto/video/7616662544828124437?_r=1&amp;_t=ZS-94ePgx2Aleu</t>
  </si>
  <si>
    <t xml:space="preserve">Mon,  16, Mar</t>
  </si>
  <si>
    <t xml:space="preserve">วันที่ความกลัวชนะทุกอย่าง</t>
  </si>
  <si>
    <t xml:space="preserve">7617806491495451925</t>
  </si>
  <si>
    <t xml:space="preserve">https://www.tiktok.com/@opendurianhowto/video/7617806491495451925?_r=1&amp;_t=ZS-94jdfUFANnw</t>
  </si>
  <si>
    <t xml:space="preserve">พยายามรักษาความสัมพันธ์ จนลืมรักษาใจตัวเอง</t>
  </si>
  <si>
    <t xml:space="preserve">7617807326027828500</t>
  </si>
  <si>
    <t xml:space="preserve">https://www.tiktok.com/@opendurianhowto/video/7617807326027828500?_r=1&amp;_t=ZS-94jdwwWGe4y</t>
  </si>
  <si>
    <t xml:space="preserve">Tue,  17, Mar</t>
  </si>
  <si>
    <t xml:space="preserve">ริวซึมเศร้าเพราะรู้สึกผิดและโทษตัวเอง (สัมภาษณ์นักเขียน)</t>
  </si>
  <si>
    <t xml:space="preserve">7618175385989057812</t>
  </si>
  <si>
    <t xml:space="preserve">https://www.tiktok.com/@opendurianhowto/video/7618175385989057812?_r=1&amp;_t=ZS-94lLdfVZEBx</t>
  </si>
  <si>
    <t xml:space="preserve">Wed,  18, Mar</t>
  </si>
  <si>
    <t xml:space="preserve">รักตัวเองให้เก่งก่อนรักคนอื่น</t>
  </si>
  <si>
    <t xml:space="preserve">7618535673531796756</t>
  </si>
  <si>
    <t xml:space="preserve">https://www.tiktok.com/@opendurianhowto/video/7618535673531796756?_r=1&amp;_t=ZS-94myu4XvOaq</t>
  </si>
  <si>
    <t xml:space="preserve">Sat,  21, Mar</t>
  </si>
  <si>
    <t xml:space="preserve">ความคิดพาเราไปไกลกว่าความจริงเสมอ</t>
  </si>
  <si>
    <t xml:space="preserve">7619285677666061588</t>
  </si>
  <si>
    <t xml:space="preserve">https://www.tiktok.com/@opendurianhowto/video/7619285677666061588?_r=1&amp;_t=ZS-94qQRIqHHlt</t>
  </si>
  <si>
    <t xml:space="preserve">Thu,  19, Mar</t>
  </si>
  <si>
    <t xml:space="preserve">จิตวิทยาของการสูญเสีย เขาบอกไว้ว่า ... AI</t>
  </si>
  <si>
    <t xml:space="preserve">7618904696476355861</t>
  </si>
  <si>
    <t xml:space="preserve">https://www.tiktok.com/@opendurianhowto/video/7618904696476355861?_r=1&amp;_t=ZS-94ofRPMqHGG</t>
  </si>
  <si>
    <t xml:space="preserve">Fri,  20, Mar</t>
  </si>
  <si>
    <t xml:space="preserve">ถ้าคืนนี้เป็นคืนสุดท้าย AI</t>
  </si>
  <si>
    <t xml:space="preserve">7619281097683373333</t>
  </si>
  <si>
    <t xml:space="preserve">https://www.tiktok.com/@opendurianhowto/video/7619281097683373333?_r=1&amp;_t=ZS-94qQ4Iq7rAD</t>
  </si>
  <si>
    <t xml:space="preserve">ฉันจะมีชีวิตที่ดี</t>
  </si>
  <si>
    <t xml:space="preserve">อย่ากลัวการเปลี่ยนแปลง อย่าหวั่นการเปลี่ยนเส้นทางชีวิต &gt; ออกจาก Comfort Zone เพื่อชีวิตที่ดีกว่า</t>
  </si>
  <si>
    <t xml:space="preserve">7618534539316514068</t>
  </si>
  <si>
    <t xml:space="preserve">https://www.tiktok.com/@opendurianhowto/video/7618534539316514068?_r=1&amp;_t=ZS-94myhIgjqpp</t>
  </si>
  <si>
    <t xml:space="preserve">Mon,  23, Mar</t>
  </si>
  <si>
    <t xml:space="preserve">All Product</t>
  </si>
  <si>
    <t xml:space="preserve">บอกบูธแพลนนักเขียน</t>
  </si>
  <si>
    <t xml:space="preserve">ID not in TT data</t>
  </si>
  <si>
    <t xml:space="preserve">https://www.tiktok.com/@opendurianhowto/video/7620399703145975061?_r=1&amp;_t=ZS-94vVrI6lJxN</t>
  </si>
  <si>
    <t xml:space="preserve">Tue,  24, Mar</t>
  </si>
  <si>
    <t xml:space="preserve">ลดความคาดหวัง ใจเราจะเบาขึ้น AI</t>
  </si>
  <si>
    <t xml:space="preserve">7620735533269912853</t>
  </si>
  <si>
    <t xml:space="preserve">https://www.tiktok.com/@opendurianhowto/video/7620735533269912853?_r=1&amp;_t=ZS-94x48Me8v6y</t>
  </si>
  <si>
    <t xml:space="preserve">Wed,  25, Mar</t>
  </si>
  <si>
    <t xml:space="preserve">วิธีรับมือโรคแพนิค AI</t>
  </si>
  <si>
    <t xml:space="preserve">7621139386565987605</t>
  </si>
  <si>
    <t xml:space="preserve">https://www.tiktok.com/@opendurianhowto/video/7621139386565987605?_r=1&amp;_t=ZS-94yuEHrjuKK</t>
  </si>
  <si>
    <t xml:space="preserve">3 ประโยค เพิ่มรอยยิ้มให้ตัวเอง เพราะมันน่ารักที่สุดแล้ว</t>
  </si>
  <si>
    <t xml:space="preserve">7621140281773018388</t>
  </si>
  <si>
    <t xml:space="preserve">https://www.tiktok.com/@opendurianhowto/video/7621140281773018388?_r=1&amp;_t=ZS-94yuOtQ4ka5</t>
  </si>
  <si>
    <t xml:space="preserve">Thu,  26, Mar</t>
  </si>
  <si>
    <t xml:space="preserve">สัมภาษณ์คนมาซื้อหนังสือ ทำไมถึงซื้อหนังสือเล่มนี้?</t>
  </si>
  <si>
    <t xml:space="preserve">https://vt.tiktok.com/ZSuwb3Ht8/</t>
  </si>
  <si>
    <t xml:space="preserve">Fri,  27, Mar</t>
  </si>
  <si>
    <t xml:space="preserve">อย่าคาดหวัง จนลืมอยู่กับความจริง  AI</t>
  </si>
  <si>
    <t xml:space="preserve">https://vt.tiktok.com/ZSuoPHRBx/</t>
  </si>
  <si>
    <t xml:space="preserve">สัมภาษณ์พนักงาน อยากแนะนำหนังสือเล่นไหมที่สุด?</t>
  </si>
  <si>
    <t xml:space="preserve">https://vt.tiktok.com/ZSuoP5Tfv/</t>
  </si>
  <si>
    <t xml:space="preserve">Sat,  28, Mar</t>
  </si>
  <si>
    <t xml:space="preserve">อย่าปล่อยให้พ่อแม่รอ กลับไปเยี่ยมในวันที่ยังมีโอกาส</t>
  </si>
  <si>
    <t xml:space="preserve">https://vt.tiktok.com/ZSuoPQQpU/</t>
  </si>
  <si>
    <t xml:space="preserve">Mon,  30, Mar</t>
  </si>
  <si>
    <t xml:space="preserve">เลิกควบคุมสิ่งที่ควมคุมไม่ได้ AI</t>
  </si>
  <si>
    <t xml:space="preserve">https://www.tiktok.com/@opendurianhowto/video/7622996723803114773?_r=1&amp;_t=ZS-957PNsyexHB</t>
  </si>
  <si>
    <t xml:space="preserve">Tue,  31, Mar</t>
  </si>
  <si>
    <t xml:space="preserve">แด่มนุษย์ที่โดดเดี่ยว AI</t>
  </si>
  <si>
    <t xml:space="preserve">https://vt.tiktok.com/ZSHFCDBbr/</t>
  </si>
  <si>
    <t xml:space="preserve">TikTok ID Mapping — มิ้น | VDO Content | Mar 2026</t>
  </si>
  <si>
    <t xml:space="preserve">Total: 33  |  Matched ✅: 22  |  ID not in TT ⚠️: 7  |  No ID in KMS ❌: 4  |  TT Revenue: ฿0.00</t>
  </si>
  <si>
    <t xml:space="preserve">เหนื่อยมากไหม พักก่อนก็ได้นะวันนี้</t>
  </si>
  <si>
    <t xml:space="preserve">อยู่ต่อ หรือ ลาออก</t>
  </si>
  <si>
    <t xml:space="preserve">7612606234616810772</t>
  </si>
  <si>
    <t xml:space="preserve">https://www.tiktok.com/@opendurianhowto/video/7612606234616810772?_r=1&amp;_t=ZS-94Lp6km2ZxB</t>
  </si>
  <si>
    <t xml:space="preserve">ไม่ต้องอ่านให้จบเล่ม</t>
  </si>
  <si>
    <t xml:space="preserve">7613714425366957332</t>
  </si>
  <si>
    <t xml:space="preserve">https://www.tiktok.com/@opendurianhowto/video/7613714425366957332</t>
  </si>
  <si>
    <t xml:space="preserve">เติม Stock เล่มลายเซ็นหมอทานตะวัน FB</t>
  </si>
  <si>
    <t xml:space="preserve">ถ้าโลกมันแย่ ก็แค่คิดแบบคาปิบาร่า Think Like a Happybara</t>
  </si>
  <si>
    <t xml:space="preserve">ถ้าคุณรู้สึกเหนื่อย </t>
  </si>
  <si>
    <t xml:space="preserve">7613329172844334356</t>
  </si>
  <si>
    <t xml:space="preserve">https://www.tiktok.com/@opendurianhowto/video/7613329172844334356?_r=1&amp;_t=ZS-94P8ERNSbia</t>
  </si>
  <si>
    <t xml:space="preserve">เติม Stock ลายเซ็นนักเขียน เมไอ</t>
  </si>
  <si>
    <t xml:space="preserve">หยุดด่าตัวเองก่อน</t>
  </si>
  <si>
    <t xml:space="preserve">7613716592773451028</t>
  </si>
  <si>
    <t xml:space="preserve">https://www.tiktok.com/@opendurianhowto/video/7613716592773451028</t>
  </si>
  <si>
    <t xml:space="preserve">ใครเคยดูโฆษณาประกันนี้บ้าง</t>
  </si>
  <si>
    <t xml:space="preserve">7613705031774178580</t>
  </si>
  <si>
    <t xml:space="preserve">https://www.tiktok.com/@opendurianhowto/video/7613705031774178580?_r=1&amp;_t=ZS-94SavAW0k1B</t>
  </si>
  <si>
    <t xml:space="preserve">ไม่เคยร้องไห้ใ้กับหนังสือจนมาเจอ 2 เล่มนี้</t>
  </si>
  <si>
    <t xml:space="preserve">7614085564639251733</t>
  </si>
  <si>
    <t xml:space="preserve">https://www.tiktok.com/@opendurianhowto/video/7614085564639251733?_r=1&amp;_t=ZS-94SdhgTL9z3</t>
  </si>
  <si>
    <t xml:space="preserve">ทุกความทรงจำคือของขวัญจากวันวาน</t>
  </si>
  <si>
    <t xml:space="preserve">การปล่อยวาง</t>
  </si>
  <si>
    <t xml:space="preserve">7615560288967904532</t>
  </si>
  <si>
    <t xml:space="preserve">https://www.tiktok.com/@opendurianhowto/video/76155602889679045322</t>
  </si>
  <si>
    <t xml:space="preserve">เล่มลายเซ็นนักเขียนหมึกซึม ลง FB </t>
  </si>
  <si>
    <t xml:space="preserve">การรักษาซึมเศร้าไม่ใช่แค่เรื่องยา</t>
  </si>
  <si>
    <t xml:space="preserve">7615558178184514837</t>
  </si>
  <si>
    <t xml:space="preserve">https://www.tiktok.com/@opendurianhowto/video/7615558178184514837</t>
  </si>
  <si>
    <t xml:space="preserve">จิตวิทยาบอกไว้ว่า</t>
  </si>
  <si>
    <t xml:space="preserve">7615990159351418133</t>
  </si>
  <si>
    <t xml:space="preserve">https://www.tiktok.com/@opendurianhowto/video/7615990159351418133</t>
  </si>
  <si>
    <t xml:space="preserve">มีประโยคหนึ่งในหนังสือที่อ่านแล้วเปลี่ยนชีวิต</t>
  </si>
  <si>
    <t xml:space="preserve">7615982072783506708</t>
  </si>
  <si>
    <t xml:space="preserve">https://www.tiktok.com/@opendurianhowto/video/7615982072783506708</t>
  </si>
  <si>
    <t xml:space="preserve">ใครอ่านเล่มแรกแล้วยังไม่จุใจ</t>
  </si>
  <si>
    <t xml:space="preserve">7617748828443249940</t>
  </si>
  <si>
    <t xml:space="preserve">https://www.tiktok.com/@opendurianhowto/video/7617748828443249940?is_from_webapp=1&amp;sender_device=pc&amp;web_id=7293738265181668866</t>
  </si>
  <si>
    <t xml:space="preserve">เมไอชวนมางานหนังสือ </t>
  </si>
  <si>
    <t xml:space="preserve">https://www.tiktok.com/@opendurianhowto/video/7617715008054643989?is_from_webapp=1&amp;sender_device=pc&amp;web_id=7293738265181668866</t>
  </si>
  <si>
    <t xml:space="preserve">คนคิดเยอะ มักเจ็บจากความคิดตัวเอง</t>
  </si>
  <si>
    <t xml:space="preserve">7618541725795011860</t>
  </si>
  <si>
    <t xml:space="preserve">https://www.tiktok.com/@opendurianhowto/video/7618541725795011860</t>
  </si>
  <si>
    <t xml:space="preserve">เมื่อโลกทั้งใบซ่อนอยู่ใต้หมวกกันน็อก (Helmet Girl)</t>
  </si>
  <si>
    <t xml:space="preserve">เราเหนื่อยเพราะพยายามแบกทุกอย่างไว้คนเดียว</t>
  </si>
  <si>
    <t xml:space="preserve">https://www.tiktok.com/@opendurianhowto/video/7619282107294420245</t>
  </si>
  <si>
    <t xml:space="preserve">*จัดอันดับความรู้สึกให้ตรงกับหนังสือ</t>
  </si>
  <si>
    <t xml:space="preserve">7618216834852015381</t>
  </si>
  <si>
    <t xml:space="preserve">https://www.tiktok.com/@opendurianhowto/video/7618216834852015381?is_from_webapp=1&amp;sender_device=pc&amp;web_id=7293738265181668866</t>
  </si>
  <si>
    <t xml:space="preserve">*เลิกเก็บทุกอย่างมาคิด ชีวิตจะง่ายขึ้น</t>
  </si>
  <si>
    <t xml:space="preserve">7619276005806492948</t>
  </si>
  <si>
    <t xml:space="preserve">https://www.tiktok.com/@opendurianhowto/video/7619276005806492948</t>
  </si>
  <si>
    <t xml:space="preserve">*สิ่งใดเกิดขึ้นแล้ว สิ่งนั้นดีเสมอ </t>
  </si>
  <si>
    <t xml:space="preserve">7618905779403492629</t>
  </si>
  <si>
    <t xml:space="preserve">https://www.tiktok.com/@opendurianhowto/video/7618905779403492629</t>
  </si>
  <si>
    <t xml:space="preserve">สิ่งที่สูญเสียไป เพื่อให้เจอสิ่งใหม่ที่ดีกว่า</t>
  </si>
  <si>
    <t xml:space="preserve">7619280282419645717</t>
  </si>
  <si>
    <t xml:space="preserve">https://www.tiktok.com/@opendurianhowto/video/7619280282419645717</t>
  </si>
  <si>
    <t xml:space="preserve">5 คำสอนจาก ทูตแห่งสัจธรรม &gt; 5 คำเตือนจากยมทูต ตามในหนังสือ</t>
  </si>
  <si>
    <t xml:space="preserve">7618535806071819540</t>
  </si>
  <si>
    <t xml:space="preserve">https://www.tiktok.com/@opendurianhowto/video/7618535806071819540</t>
  </si>
  <si>
    <t xml:space="preserve">โปรโมต Live TikTok 25 Mar 26 | 18.00-21.00</t>
  </si>
  <si>
    <t xml:space="preserve">https://www.tiktok.com/@opendurianhowto/video/7619274256589032725</t>
  </si>
  <si>
    <t xml:space="preserve">5 ข้อคิดที่ได้จากหนังสือกับดักความรู้สึกผิด </t>
  </si>
  <si>
    <t xml:space="preserve">https://www.tiktok.com/@opendurianhowto/video/7622976710954323221?is_from_webapp=1&amp;sender_device=pc&amp;web_id=7293738265181668866</t>
  </si>
  <si>
    <t xml:space="preserve">สัมภาษณ์คุณหมอทานตะวัน เชิญชวนมาบูธ+เวทีกลาง</t>
  </si>
  <si>
    <t xml:space="preserve">7620403444599262485</t>
  </si>
  <si>
    <t xml:space="preserve">https://www.tiktok.com/@opendurianhowto/video/7620403444599262485</t>
  </si>
  <si>
    <t xml:space="preserve">สัมภาษณ์คุณหมึกซึม+เชิญชวนมาบูธ</t>
  </si>
  <si>
    <t xml:space="preserve">7620805993982659861</t>
  </si>
  <si>
    <t xml:space="preserve">https://www.tiktok.com/@opendurianhowto/video/7620805993982659861</t>
  </si>
  <si>
    <t xml:space="preserve">อย่าเอาเกณฑ์ความสำเร็จของคนอื่นมาเปรียบเทียบกับตัวเอง</t>
  </si>
  <si>
    <t xml:space="preserve">https://www.tiktok.com/@opendurianhowto/video/7622870925444123925?is_from_webapp=1&amp;sender_device=pc&amp;web_id=7293738265181668866</t>
  </si>
  <si>
    <t xml:space="preserve">คนใจดีมักถูกเอาเปรียบ</t>
  </si>
  <si>
    <t xml:space="preserve">7621128820564774164</t>
  </si>
  <si>
    <t xml:space="preserve">https://www.tiktok.com/@opendurianhowto/video/7621128820564774164</t>
  </si>
  <si>
    <t xml:space="preserve">เชิญชวน + โปรโมชันพิเศษที่งานหนังสือ </t>
  </si>
  <si>
    <t xml:space="preserve">7621540816636448021</t>
  </si>
  <si>
    <t xml:space="preserve">https://www.tiktok.com/@opendurianhowto/video/7621540816636448021</t>
  </si>
  <si>
    <t xml:space="preserve">LGBTQ+ สัมภาษณ์คุณหมอ</t>
  </si>
  <si>
    <t xml:space="preserve">7621055266703838485</t>
  </si>
  <si>
    <t xml:space="preserve">https://www.tiktok.com/@opendurianhowto/video/7621055266703838485?is_from_webapp=1&amp;sender_device=pc&amp;web_id=7293738265181668866</t>
  </si>
  <si>
    <t xml:space="preserve">สัมภาษณ์คนมาซื้อหนังสือ มางานหนังสือ เตรียมงบมาเท่าไหร่?</t>
  </si>
  <si>
    <t xml:space="preserve">https://www.tiktok.com/@opendurianhowto/video/7621863811867348245</t>
  </si>
  <si>
    <t xml:space="preserve">ใกล้กันจนดูแคลน</t>
  </si>
  <si>
    <t xml:space="preserve">*อย่าจมอยู่กับความสัมพันธ์ที่ทำร้ายใจ</t>
  </si>
  <si>
    <t xml:space="preserve">https://www.tiktok.com/@opendurianhowto/video/7623358893611126037</t>
  </si>
  <si>
    <t xml:space="preserve">TikTok IDs ที่อยู่ใน KMS แต่ไม่พบใน TikTok Export (9 รายการ)</t>
  </si>
  <si>
    <t xml:space="preserve">Creator</t>
  </si>
  <si>
    <t xml:space="preserve">TikTok VDO ID (KMS)</t>
  </si>
  <si>
    <t xml:space="preserve">VDO ที่ไม่มี TikTok ID ใน KMS (11 รายการ)</t>
  </si>
  <si>
    <t xml:space="preserve">Published Date</t>
  </si>
  <si>
    <t xml:space="preserve">FB Post Link</t>
  </si>
  <si>
    <t xml:space="preserve">.</t>
  </si>
  <si>
    <t xml:space="preserve">10 Mar 26</t>
  </si>
  <si>
    <t xml:space="preserve">https://www.facebook.com/reel/1178152234214903</t>
  </si>
  <si>
    <t xml:space="preserve">27 Mar 27</t>
  </si>
  <si>
    <t xml:space="preserve">https://web.facebook.com/reel/2007408666792148</t>
  </si>
  <si>
    <t xml:space="preserve">29 Mar 26</t>
  </si>
  <si>
    <t xml:space="preserve">https://www.facebook.com/reel/1343892724238253</t>
  </si>
  <si>
    <t xml:space="preserve">28 Mar 26</t>
  </si>
  <si>
    <t xml:space="preserve">https://www.facebook.com/reel/1457260759137329</t>
  </si>
  <si>
    <t xml:space="preserve">https://www.facebook.com/reel/1538806934328299</t>
  </si>
  <si>
    <t xml:space="preserve">31 Mar 26</t>
  </si>
  <si>
    <t xml:space="preserve">https://www.facebook.com/reel/3416507458515671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</si>
</sst>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%"/>
    <numFmt numFmtId="167" formatCode="#,##0.00"/>
    <numFmt numFmtId="168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color rgb="FFD9770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2D6A9F"/>
        <bgColor rgb="FF008080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E2E8F0"/>
        <bgColor rgb="FFFEF2F2"/>
      </patternFill>
    </fill>
    <fill>
      <patternFill patternType="solid">
        <fgColor rgb="FFFEF2F2"/>
        <bgColor rgb="FFFFFBEB"/>
      </patternFill>
    </fill>
    <fill>
      <patternFill patternType="solid">
        <fgColor rgb="FFFFFBEB"/>
        <bgColor rgb="FFF8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EB"/>
      <rgbColor rgb="FFE2E8F0"/>
      <rgbColor rgb="FF660066"/>
      <rgbColor rgb="FFFF8080"/>
      <rgbColor rgb="FF2D6A9F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CCFFCC"/>
      <rgbColor rgb="FFFEF2F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6B7280"/>
      <rgbColor rgb="FF969696"/>
      <rgbColor rgb="FF1E3A5F"/>
      <rgbColor rgb="FF16A34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9.5" hidden="false" customHeight="true" outlineLevel="0" collapsed="false">
      <c r="A5" s="4" t="s">
        <v>6</v>
      </c>
      <c r="B5" s="5" t="n">
        <v>35</v>
      </c>
      <c r="C5" s="5" t="n">
        <v>33</v>
      </c>
      <c r="D5" s="5" t="n">
        <v>68</v>
      </c>
    </row>
    <row r="6" customFormat="false" ht="19.5" hidden="false" customHeight="true" outlineLevel="0" collapsed="false">
      <c r="A6" s="6" t="s">
        <v>7</v>
      </c>
      <c r="B6" s="7" t="n">
        <v>26</v>
      </c>
      <c r="C6" s="7" t="n">
        <v>22</v>
      </c>
      <c r="D6" s="7" t="n">
        <v>48</v>
      </c>
    </row>
    <row r="7" customFormat="false" ht="19.5" hidden="false" customHeight="true" outlineLevel="0" collapsed="false">
      <c r="A7" s="4" t="s">
        <v>8</v>
      </c>
      <c r="B7" s="5" t="n">
        <v>2</v>
      </c>
      <c r="C7" s="5" t="n">
        <v>7</v>
      </c>
      <c r="D7" s="5" t="n">
        <v>9</v>
      </c>
    </row>
    <row r="8" customFormat="false" ht="19.5" hidden="false" customHeight="true" outlineLevel="0" collapsed="false">
      <c r="A8" s="6" t="s">
        <v>9</v>
      </c>
      <c r="B8" s="7" t="n">
        <v>7</v>
      </c>
      <c r="C8" s="7" t="n">
        <v>4</v>
      </c>
      <c r="D8" s="7" t="n">
        <v>11</v>
      </c>
    </row>
    <row r="9" customFormat="false" ht="19.5" hidden="false" customHeight="true" outlineLevel="0" collapsed="false">
      <c r="A9" s="4" t="s">
        <v>10</v>
      </c>
      <c r="B9" s="8" t="n">
        <v>0.742857142857143</v>
      </c>
      <c r="C9" s="8" t="n">
        <v>0.666666666666667</v>
      </c>
      <c r="D9" s="8" t="n">
        <v>0.705882352941177</v>
      </c>
    </row>
    <row r="10" customFormat="false" ht="19.5" hidden="false" customHeight="true" outlineLevel="0" collapsed="false">
      <c r="A10" s="9"/>
      <c r="B10" s="9"/>
      <c r="C10" s="9"/>
      <c r="D10" s="9"/>
    </row>
    <row r="11" customFormat="false" ht="19.5" hidden="false" customHeight="true" outlineLevel="0" collapsed="false">
      <c r="A11" s="4" t="s">
        <v>11</v>
      </c>
      <c r="B11" s="10" t="n">
        <v>2591.17</v>
      </c>
      <c r="C11" s="10" t="n">
        <v>0</v>
      </c>
      <c r="D11" s="10" t="n">
        <v>2591.17</v>
      </c>
    </row>
    <row r="12" customFormat="false" ht="19.5" hidden="false" customHeight="true" outlineLevel="0" collapsed="false">
      <c r="A12" s="6" t="s">
        <v>12</v>
      </c>
      <c r="B12" s="11" t="n">
        <v>1154.94</v>
      </c>
      <c r="C12" s="11" t="n">
        <v>198.57</v>
      </c>
      <c r="D12" s="11" t="n">
        <v>1353.51</v>
      </c>
    </row>
    <row r="13" customFormat="false" ht="19.5" hidden="false" customHeight="true" outlineLevel="0" collapsed="false">
      <c r="A13" s="4" t="s">
        <v>13</v>
      </c>
      <c r="B13" s="5" t="n">
        <v>10</v>
      </c>
      <c r="C13" s="5" t="n">
        <v>0</v>
      </c>
      <c r="D13" s="5" t="n">
        <v>10</v>
      </c>
    </row>
    <row r="15" customFormat="false" ht="27.75" hidden="false" customHeight="true" outlineLevel="0" collapsed="false">
      <c r="A15" s="12" t="s">
        <v>14</v>
      </c>
      <c r="B15" s="12"/>
      <c r="C15" s="12"/>
      <c r="D15" s="12"/>
      <c r="E15" s="12"/>
    </row>
    <row r="16" customFormat="false" ht="27.75" hidden="false" customHeight="true" outlineLevel="0" collapsed="false">
      <c r="A16" s="12" t="s">
        <v>15</v>
      </c>
      <c r="B16" s="12"/>
      <c r="C16" s="12"/>
      <c r="D16" s="12"/>
      <c r="E16" s="12"/>
    </row>
  </sheetData>
  <mergeCells count="5">
    <mergeCell ref="A1:E1"/>
    <mergeCell ref="A2:E2"/>
    <mergeCell ref="A10:D10"/>
    <mergeCell ref="A15:E15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5" min="4" style="0" width="22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9" min="8" style="0" width="8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0" width="30"/>
  </cols>
  <sheetData>
    <row r="1" customFormat="false" ht="31.5" hidden="false" customHeight="true" outlineLevel="0" collapsed="false">
      <c r="A1" s="13" t="s">
        <v>16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customFormat="false" ht="19.5" hidden="false" customHeight="true" outlineLevel="0" collapsed="false">
      <c r="A2" s="14" t="s">
        <v>17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customFormat="false" ht="21.75" hidden="false" customHeight="true" outlineLevel="0" collapsed="false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s="3" t="s">
        <v>30</v>
      </c>
    </row>
    <row r="4" customFormat="false" ht="18" hidden="false" customHeight="true" outlineLevel="0" collapsed="false">
      <c r="A4" s="15" t="s">
        <v>31</v>
      </c>
      <c r="B4" s="15" t="s">
        <v>32</v>
      </c>
      <c r="C4" s="15" t="s">
        <v>33</v>
      </c>
      <c r="D4" s="15" t="n">
        <v>7.61259300418393E+018</v>
      </c>
      <c r="E4" s="15" t="s">
        <v>34</v>
      </c>
      <c r="F4" s="16" t="s">
        <v>35</v>
      </c>
      <c r="G4" s="17" t="n">
        <v>300</v>
      </c>
      <c r="H4" s="18" t="n">
        <v>12.7</v>
      </c>
      <c r="I4" s="19" t="n">
        <v>1</v>
      </c>
      <c r="J4" s="17" t="n">
        <v>23.61</v>
      </c>
      <c r="K4" s="20" t="b">
        <f aca="false">TRUE()</f>
        <v>1</v>
      </c>
      <c r="L4" s="20" t="b">
        <f aca="false">FALSE()</f>
        <v>0</v>
      </c>
      <c r="M4" s="15" t="s">
        <v>36</v>
      </c>
    </row>
    <row r="5" customFormat="false" ht="18" hidden="false" customHeight="true" outlineLevel="0" collapsed="false">
      <c r="A5" s="21" t="s">
        <v>31</v>
      </c>
      <c r="B5" s="21" t="s">
        <v>37</v>
      </c>
      <c r="C5" s="21" t="s">
        <v>38</v>
      </c>
      <c r="D5" s="21" t="n">
        <v>7.61333429004203E+018</v>
      </c>
      <c r="E5" s="21" t="s">
        <v>39</v>
      </c>
      <c r="F5" s="22" t="s">
        <v>35</v>
      </c>
      <c r="G5" s="23" t="n">
        <v>0</v>
      </c>
      <c r="H5" s="24" t="n">
        <v>0</v>
      </c>
      <c r="I5" s="25" t="n">
        <v>0</v>
      </c>
      <c r="J5" s="23" t="n">
        <v>63.2</v>
      </c>
      <c r="K5" s="26" t="b">
        <f aca="false">FALSE()</f>
        <v>0</v>
      </c>
      <c r="L5" s="26" t="b">
        <f aca="false">FALSE()</f>
        <v>0</v>
      </c>
      <c r="M5" s="21" t="s">
        <v>40</v>
      </c>
    </row>
    <row r="6" customFormat="false" ht="18" hidden="false" customHeight="true" outlineLevel="0" collapsed="false">
      <c r="A6" s="15" t="s">
        <v>41</v>
      </c>
      <c r="B6" s="15" t="s">
        <v>42</v>
      </c>
      <c r="C6" s="15" t="s">
        <v>43</v>
      </c>
      <c r="D6" s="15" t="n">
        <v>7.61333751161978E+018</v>
      </c>
      <c r="E6" s="15" t="s">
        <v>44</v>
      </c>
      <c r="F6" s="16" t="s">
        <v>35</v>
      </c>
      <c r="G6" s="17" t="n">
        <v>0</v>
      </c>
      <c r="H6" s="18" t="n">
        <v>0</v>
      </c>
      <c r="I6" s="19" t="n">
        <v>0</v>
      </c>
      <c r="J6" s="17" t="n">
        <v>0.06</v>
      </c>
      <c r="K6" s="20" t="b">
        <f aca="false">TRUE()</f>
        <v>1</v>
      </c>
      <c r="L6" s="20" t="b">
        <f aca="false">FALSE()</f>
        <v>0</v>
      </c>
      <c r="M6" s="15" t="s">
        <v>45</v>
      </c>
    </row>
    <row r="7" customFormat="false" ht="18" hidden="false" customHeight="true" outlineLevel="0" collapsed="false">
      <c r="A7" s="21" t="s">
        <v>46</v>
      </c>
      <c r="B7" s="21" t="s">
        <v>47</v>
      </c>
      <c r="C7" s="21" t="s">
        <v>48</v>
      </c>
      <c r="D7" s="21" t="n">
        <v>7.61333586130792E+018</v>
      </c>
      <c r="E7" s="21" t="s">
        <v>49</v>
      </c>
      <c r="F7" s="22" t="s">
        <v>35</v>
      </c>
      <c r="G7" s="23" t="n">
        <v>0</v>
      </c>
      <c r="H7" s="24" t="n">
        <v>0</v>
      </c>
      <c r="I7" s="25" t="n">
        <v>0</v>
      </c>
      <c r="J7" s="23" t="n">
        <v>0</v>
      </c>
      <c r="K7" s="26" t="b">
        <f aca="false">TRUE()</f>
        <v>1</v>
      </c>
      <c r="L7" s="26" t="b">
        <f aca="false">FALSE()</f>
        <v>0</v>
      </c>
      <c r="M7" s="21" t="s">
        <v>50</v>
      </c>
    </row>
    <row r="8" customFormat="false" ht="18" hidden="false" customHeight="true" outlineLevel="0" collapsed="false">
      <c r="A8" s="27" t="s">
        <v>51</v>
      </c>
      <c r="B8" s="27" t="s">
        <v>32</v>
      </c>
      <c r="C8" s="27" t="s">
        <v>52</v>
      </c>
      <c r="D8" s="27"/>
      <c r="E8" s="27"/>
      <c r="F8" s="28" t="s">
        <v>53</v>
      </c>
      <c r="G8" s="29"/>
      <c r="H8" s="29"/>
      <c r="I8" s="29"/>
      <c r="J8" s="29"/>
      <c r="K8" s="30" t="b">
        <f aca="false">FALSE()</f>
        <v>0</v>
      </c>
      <c r="L8" s="30" t="b">
        <f aca="false">FALSE()</f>
        <v>0</v>
      </c>
      <c r="M8" s="27"/>
    </row>
    <row r="9" customFormat="false" ht="18" hidden="false" customHeight="true" outlineLevel="0" collapsed="false">
      <c r="A9" s="21" t="s">
        <v>51</v>
      </c>
      <c r="B9" s="21" t="s">
        <v>54</v>
      </c>
      <c r="C9" s="21" t="s">
        <v>55</v>
      </c>
      <c r="D9" s="21" t="n">
        <v>7.61369945957424E+018</v>
      </c>
      <c r="E9" s="21" t="s">
        <v>56</v>
      </c>
      <c r="F9" s="22" t="s">
        <v>35</v>
      </c>
      <c r="G9" s="23" t="n">
        <v>0</v>
      </c>
      <c r="H9" s="24" t="n">
        <v>0</v>
      </c>
      <c r="I9" s="25" t="n">
        <v>0</v>
      </c>
      <c r="J9" s="23" t="n">
        <v>0</v>
      </c>
      <c r="K9" s="26" t="b">
        <f aca="false">FALSE()</f>
        <v>0</v>
      </c>
      <c r="L9" s="26" t="b">
        <f aca="false">FALSE()</f>
        <v>0</v>
      </c>
      <c r="M9" s="21" t="s">
        <v>57</v>
      </c>
    </row>
    <row r="10" customFormat="false" ht="18" hidden="false" customHeight="true" outlineLevel="0" collapsed="false">
      <c r="A10" s="15" t="s">
        <v>51</v>
      </c>
      <c r="B10" s="15" t="s">
        <v>54</v>
      </c>
      <c r="C10" s="15" t="s">
        <v>58</v>
      </c>
      <c r="D10" s="15" t="n">
        <v>7.61369987801899E+018</v>
      </c>
      <c r="E10" s="15" t="s">
        <v>59</v>
      </c>
      <c r="F10" s="16" t="s">
        <v>35</v>
      </c>
      <c r="G10" s="17" t="n">
        <v>0</v>
      </c>
      <c r="H10" s="18" t="n">
        <v>0</v>
      </c>
      <c r="I10" s="19" t="n">
        <v>0</v>
      </c>
      <c r="J10" s="17" t="n">
        <v>0</v>
      </c>
      <c r="K10" s="20" t="b">
        <f aca="false">FALSE()</f>
        <v>0</v>
      </c>
      <c r="L10" s="20" t="b">
        <f aca="false">FALSE()</f>
        <v>0</v>
      </c>
      <c r="M10" s="15" t="s">
        <v>60</v>
      </c>
    </row>
    <row r="11" customFormat="false" ht="18" hidden="false" customHeight="true" outlineLevel="0" collapsed="false">
      <c r="A11" s="21" t="s">
        <v>61</v>
      </c>
      <c r="B11" s="21" t="s">
        <v>62</v>
      </c>
      <c r="C11" s="21" t="s">
        <v>63</v>
      </c>
      <c r="D11" s="21" t="n">
        <v>7.61408884471092E+018</v>
      </c>
      <c r="E11" s="21" t="s">
        <v>64</v>
      </c>
      <c r="F11" s="22" t="s">
        <v>35</v>
      </c>
      <c r="G11" s="23" t="n">
        <v>0</v>
      </c>
      <c r="H11" s="24" t="n">
        <v>0</v>
      </c>
      <c r="I11" s="25" t="n">
        <v>0</v>
      </c>
      <c r="J11" s="23" t="n">
        <v>0.65</v>
      </c>
      <c r="K11" s="26" t="b">
        <f aca="false">TRUE()</f>
        <v>1</v>
      </c>
      <c r="L11" s="26" t="b">
        <f aca="false">FALSE()</f>
        <v>0</v>
      </c>
      <c r="M11" s="21" t="s">
        <v>65</v>
      </c>
    </row>
    <row r="12" customFormat="false" ht="18" hidden="false" customHeight="true" outlineLevel="0" collapsed="false">
      <c r="A12" s="27" t="s">
        <v>66</v>
      </c>
      <c r="B12" s="27" t="s">
        <v>67</v>
      </c>
      <c r="C12" s="27" t="s">
        <v>68</v>
      </c>
      <c r="D12" s="27"/>
      <c r="E12" s="27"/>
      <c r="F12" s="28" t="s">
        <v>53</v>
      </c>
      <c r="G12" s="29"/>
      <c r="H12" s="29"/>
      <c r="I12" s="29"/>
      <c r="J12" s="29"/>
      <c r="K12" s="30" t="b">
        <f aca="false">FALSE()</f>
        <v>0</v>
      </c>
      <c r="L12" s="30" t="b">
        <f aca="false">FALSE()</f>
        <v>0</v>
      </c>
      <c r="M12" s="27"/>
    </row>
    <row r="13" customFormat="false" ht="18" hidden="false" customHeight="true" outlineLevel="0" collapsed="false">
      <c r="A13" s="21" t="s">
        <v>69</v>
      </c>
      <c r="B13" s="21" t="s">
        <v>32</v>
      </c>
      <c r="C13" s="21" t="s">
        <v>70</v>
      </c>
      <c r="D13" s="21" t="n">
        <v>7.61519643894286E+018</v>
      </c>
      <c r="E13" s="21" t="s">
        <v>71</v>
      </c>
      <c r="F13" s="22" t="s">
        <v>35</v>
      </c>
      <c r="G13" s="23" t="n">
        <v>552.12</v>
      </c>
      <c r="H13" s="24" t="n">
        <v>1.17</v>
      </c>
      <c r="I13" s="25" t="n">
        <v>2</v>
      </c>
      <c r="J13" s="23" t="n">
        <v>471.91</v>
      </c>
      <c r="K13" s="26" t="b">
        <f aca="false">FALSE()</f>
        <v>0</v>
      </c>
      <c r="L13" s="26" t="b">
        <f aca="false">FALSE()</f>
        <v>0</v>
      </c>
      <c r="M13" s="21" t="s">
        <v>72</v>
      </c>
    </row>
    <row r="14" customFormat="false" ht="18" hidden="false" customHeight="true" outlineLevel="0" collapsed="false">
      <c r="A14" s="15" t="s">
        <v>73</v>
      </c>
      <c r="B14" s="15" t="s">
        <v>54</v>
      </c>
      <c r="C14" s="15" t="s">
        <v>74</v>
      </c>
      <c r="D14" s="15" t="n">
        <v>7.61557547666023E+018</v>
      </c>
      <c r="E14" s="15" t="s">
        <v>75</v>
      </c>
      <c r="F14" s="16" t="s">
        <v>35</v>
      </c>
      <c r="G14" s="17" t="n">
        <v>0</v>
      </c>
      <c r="H14" s="18" t="n">
        <v>0</v>
      </c>
      <c r="I14" s="19" t="n">
        <v>0</v>
      </c>
      <c r="J14" s="17" t="n">
        <v>0</v>
      </c>
      <c r="K14" s="20" t="b">
        <f aca="false">FALSE()</f>
        <v>0</v>
      </c>
      <c r="L14" s="20" t="b">
        <f aca="false">FALSE()</f>
        <v>0</v>
      </c>
      <c r="M14" s="15" t="s">
        <v>76</v>
      </c>
    </row>
    <row r="15" customFormat="false" ht="18" hidden="false" customHeight="true" outlineLevel="0" collapsed="false">
      <c r="A15" s="21" t="s">
        <v>77</v>
      </c>
      <c r="B15" s="21" t="s">
        <v>78</v>
      </c>
      <c r="C15" s="21" t="s">
        <v>79</v>
      </c>
      <c r="D15" s="21" t="n">
        <v>7.6158962252917E+018</v>
      </c>
      <c r="E15" s="21" t="s">
        <v>80</v>
      </c>
      <c r="F15" s="22" t="s">
        <v>35</v>
      </c>
      <c r="G15" s="23" t="n">
        <v>0</v>
      </c>
      <c r="H15" s="24" t="n">
        <v>0</v>
      </c>
      <c r="I15" s="25" t="n">
        <v>0</v>
      </c>
      <c r="J15" s="23" t="n">
        <v>0</v>
      </c>
      <c r="K15" s="26" t="b">
        <f aca="false">FALSE()</f>
        <v>0</v>
      </c>
      <c r="L15" s="26" t="b">
        <f aca="false">FALSE()</f>
        <v>0</v>
      </c>
      <c r="M15" s="21" t="s">
        <v>81</v>
      </c>
    </row>
    <row r="16" customFormat="false" ht="18" hidden="false" customHeight="true" outlineLevel="0" collapsed="false">
      <c r="A16" s="15" t="s">
        <v>82</v>
      </c>
      <c r="B16" s="15" t="s">
        <v>83</v>
      </c>
      <c r="C16" s="15" t="s">
        <v>84</v>
      </c>
      <c r="D16" s="15" t="n">
        <v>7.61631256558881E+018</v>
      </c>
      <c r="E16" s="15" t="s">
        <v>85</v>
      </c>
      <c r="F16" s="16" t="s">
        <v>35</v>
      </c>
      <c r="G16" s="17" t="n">
        <v>0</v>
      </c>
      <c r="H16" s="18" t="n">
        <v>0</v>
      </c>
      <c r="I16" s="19" t="n">
        <v>0</v>
      </c>
      <c r="J16" s="17" t="n">
        <v>9.11</v>
      </c>
      <c r="K16" s="20" t="b">
        <f aca="false">FALSE()</f>
        <v>0</v>
      </c>
      <c r="L16" s="20" t="b">
        <f aca="false">FALSE()</f>
        <v>0</v>
      </c>
      <c r="M16" s="15" t="s">
        <v>86</v>
      </c>
    </row>
    <row r="17" customFormat="false" ht="18" hidden="false" customHeight="true" outlineLevel="0" collapsed="false">
      <c r="A17" s="21" t="s">
        <v>82</v>
      </c>
      <c r="B17" s="21" t="s">
        <v>87</v>
      </c>
      <c r="C17" s="21" t="s">
        <v>88</v>
      </c>
      <c r="D17" s="21" t="n">
        <v>7.61631418171274E+018</v>
      </c>
      <c r="E17" s="21" t="s">
        <v>89</v>
      </c>
      <c r="F17" s="22" t="s">
        <v>35</v>
      </c>
      <c r="G17" s="23" t="n">
        <v>0</v>
      </c>
      <c r="H17" s="24" t="n">
        <v>0</v>
      </c>
      <c r="I17" s="25" t="n">
        <v>0</v>
      </c>
      <c r="J17" s="23" t="n">
        <v>0</v>
      </c>
      <c r="K17" s="26" t="b">
        <f aca="false">FALSE()</f>
        <v>0</v>
      </c>
      <c r="L17" s="26" t="b">
        <f aca="false">FALSE()</f>
        <v>0</v>
      </c>
      <c r="M17" s="21" t="s">
        <v>90</v>
      </c>
    </row>
    <row r="18" customFormat="false" ht="18" hidden="false" customHeight="true" outlineLevel="0" collapsed="false">
      <c r="A18" s="15" t="s">
        <v>91</v>
      </c>
      <c r="B18" s="15" t="s">
        <v>42</v>
      </c>
      <c r="C18" s="15" t="s">
        <v>92</v>
      </c>
      <c r="D18" s="15" t="n">
        <v>7.6166601655924E+018</v>
      </c>
      <c r="E18" s="15" t="s">
        <v>93</v>
      </c>
      <c r="F18" s="16" t="s">
        <v>35</v>
      </c>
      <c r="G18" s="17" t="n">
        <v>0</v>
      </c>
      <c r="H18" s="18" t="n">
        <v>0</v>
      </c>
      <c r="I18" s="19" t="n">
        <v>0</v>
      </c>
      <c r="J18" s="17" t="n">
        <v>0</v>
      </c>
      <c r="K18" s="20" t="b">
        <f aca="false">FALSE()</f>
        <v>0</v>
      </c>
      <c r="L18" s="20" t="b">
        <f aca="false">FALSE()</f>
        <v>0</v>
      </c>
      <c r="M18" s="15" t="s">
        <v>94</v>
      </c>
    </row>
    <row r="19" customFormat="false" ht="18" hidden="false" customHeight="true" outlineLevel="0" collapsed="false">
      <c r="A19" s="21" t="s">
        <v>91</v>
      </c>
      <c r="B19" s="21" t="s">
        <v>47</v>
      </c>
      <c r="C19" s="21" t="s">
        <v>95</v>
      </c>
      <c r="D19" s="21" t="n">
        <v>7.61665823691304E+018</v>
      </c>
      <c r="E19" s="21" t="s">
        <v>96</v>
      </c>
      <c r="F19" s="22" t="s">
        <v>35</v>
      </c>
      <c r="G19" s="23" t="n">
        <v>0</v>
      </c>
      <c r="H19" s="24" t="n">
        <v>0</v>
      </c>
      <c r="I19" s="25" t="n">
        <v>0</v>
      </c>
      <c r="J19" s="23" t="n">
        <v>0</v>
      </c>
      <c r="K19" s="26" t="b">
        <f aca="false">FALSE()</f>
        <v>0</v>
      </c>
      <c r="L19" s="26" t="b">
        <f aca="false">FALSE()</f>
        <v>0</v>
      </c>
      <c r="M19" s="21" t="s">
        <v>97</v>
      </c>
    </row>
    <row r="20" customFormat="false" ht="18" hidden="false" customHeight="true" outlineLevel="0" collapsed="false">
      <c r="A20" s="15" t="s">
        <v>98</v>
      </c>
      <c r="B20" s="15" t="s">
        <v>99</v>
      </c>
      <c r="C20" s="15" t="s">
        <v>100</v>
      </c>
      <c r="D20" s="15" t="n">
        <v>7.61666254482812E+018</v>
      </c>
      <c r="E20" s="15" t="s">
        <v>101</v>
      </c>
      <c r="F20" s="16" t="s">
        <v>35</v>
      </c>
      <c r="G20" s="17" t="n">
        <v>0</v>
      </c>
      <c r="H20" s="18" t="n">
        <v>0</v>
      </c>
      <c r="I20" s="19" t="n">
        <v>0</v>
      </c>
      <c r="J20" s="17" t="n">
        <v>0.16</v>
      </c>
      <c r="K20" s="20" t="b">
        <f aca="false">FALSE()</f>
        <v>0</v>
      </c>
      <c r="L20" s="20" t="b">
        <f aca="false">FALSE()</f>
        <v>0</v>
      </c>
      <c r="M20" s="15" t="s">
        <v>102</v>
      </c>
    </row>
    <row r="21" customFormat="false" ht="18" hidden="false" customHeight="true" outlineLevel="0" collapsed="false">
      <c r="A21" s="21" t="s">
        <v>103</v>
      </c>
      <c r="B21" s="21" t="s">
        <v>37</v>
      </c>
      <c r="C21" s="21" t="s">
        <v>104</v>
      </c>
      <c r="D21" s="21" t="n">
        <v>7.61780649149545E+018</v>
      </c>
      <c r="E21" s="21" t="s">
        <v>105</v>
      </c>
      <c r="F21" s="22" t="s">
        <v>35</v>
      </c>
      <c r="G21" s="23" t="n">
        <v>0</v>
      </c>
      <c r="H21" s="24" t="n">
        <v>0</v>
      </c>
      <c r="I21" s="25" t="n">
        <v>0</v>
      </c>
      <c r="J21" s="23" t="n">
        <v>9.97</v>
      </c>
      <c r="K21" s="26" t="b">
        <f aca="false">FALSE()</f>
        <v>0</v>
      </c>
      <c r="L21" s="26" t="b">
        <f aca="false">FALSE()</f>
        <v>0</v>
      </c>
      <c r="M21" s="21" t="s">
        <v>106</v>
      </c>
    </row>
    <row r="22" customFormat="false" ht="18" hidden="false" customHeight="true" outlineLevel="0" collapsed="false">
      <c r="A22" s="15" t="s">
        <v>103</v>
      </c>
      <c r="B22" s="15" t="s">
        <v>67</v>
      </c>
      <c r="C22" s="15" t="s">
        <v>107</v>
      </c>
      <c r="D22" s="15" t="n">
        <v>7.61780732602783E+018</v>
      </c>
      <c r="E22" s="15" t="s">
        <v>108</v>
      </c>
      <c r="F22" s="16" t="s">
        <v>35</v>
      </c>
      <c r="G22" s="17" t="n">
        <v>0</v>
      </c>
      <c r="H22" s="18" t="n">
        <v>0</v>
      </c>
      <c r="I22" s="19" t="n">
        <v>0</v>
      </c>
      <c r="J22" s="17" t="n">
        <v>0.03</v>
      </c>
      <c r="K22" s="20" t="b">
        <f aca="false">TRUE()</f>
        <v>1</v>
      </c>
      <c r="L22" s="20" t="b">
        <f aca="false">FALSE()</f>
        <v>0</v>
      </c>
      <c r="M22" s="15" t="s">
        <v>109</v>
      </c>
    </row>
    <row r="23" customFormat="false" ht="18" hidden="false" customHeight="true" outlineLevel="0" collapsed="false">
      <c r="A23" s="21" t="s">
        <v>110</v>
      </c>
      <c r="B23" s="21" t="s">
        <v>32</v>
      </c>
      <c r="C23" s="21" t="s">
        <v>111</v>
      </c>
      <c r="D23" s="21" t="n">
        <v>7.61817538598906E+018</v>
      </c>
      <c r="E23" s="21" t="s">
        <v>112</v>
      </c>
      <c r="F23" s="22" t="s">
        <v>35</v>
      </c>
      <c r="G23" s="23" t="n">
        <v>261.78</v>
      </c>
      <c r="H23" s="24" t="n">
        <v>6550.71</v>
      </c>
      <c r="I23" s="25" t="n">
        <v>1</v>
      </c>
      <c r="J23" s="23" t="n">
        <v>0.04</v>
      </c>
      <c r="K23" s="26" t="b">
        <f aca="false">FALSE()</f>
        <v>0</v>
      </c>
      <c r="L23" s="26" t="b">
        <f aca="false">FALSE()</f>
        <v>0</v>
      </c>
      <c r="M23" s="21" t="s">
        <v>113</v>
      </c>
    </row>
    <row r="24" customFormat="false" ht="18" hidden="false" customHeight="true" outlineLevel="0" collapsed="false">
      <c r="A24" s="15" t="s">
        <v>114</v>
      </c>
      <c r="B24" s="15" t="s">
        <v>99</v>
      </c>
      <c r="C24" s="15" t="s">
        <v>115</v>
      </c>
      <c r="D24" s="15" t="n">
        <v>7.6185356735318E+018</v>
      </c>
      <c r="E24" s="15" t="s">
        <v>116</v>
      </c>
      <c r="F24" s="16" t="s">
        <v>35</v>
      </c>
      <c r="G24" s="17" t="n">
        <v>0</v>
      </c>
      <c r="H24" s="18" t="n">
        <v>0</v>
      </c>
      <c r="I24" s="19" t="n">
        <v>0</v>
      </c>
      <c r="J24" s="17" t="n">
        <v>2.49</v>
      </c>
      <c r="K24" s="20" t="b">
        <f aca="false">FALSE()</f>
        <v>0</v>
      </c>
      <c r="L24" s="20" t="b">
        <f aca="false">FALSE()</f>
        <v>0</v>
      </c>
      <c r="M24" s="15" t="s">
        <v>117</v>
      </c>
    </row>
    <row r="25" customFormat="false" ht="18" hidden="false" customHeight="true" outlineLevel="0" collapsed="false">
      <c r="A25" s="21" t="s">
        <v>118</v>
      </c>
      <c r="B25" s="21" t="s">
        <v>47</v>
      </c>
      <c r="C25" s="21" t="s">
        <v>119</v>
      </c>
      <c r="D25" s="21" t="n">
        <v>7.61928567766606E+018</v>
      </c>
      <c r="E25" s="21" t="s">
        <v>120</v>
      </c>
      <c r="F25" s="22" t="s">
        <v>35</v>
      </c>
      <c r="G25" s="23" t="n">
        <v>0</v>
      </c>
      <c r="H25" s="24" t="n">
        <v>0</v>
      </c>
      <c r="I25" s="25" t="n">
        <v>0</v>
      </c>
      <c r="J25" s="23" t="n">
        <v>9.54</v>
      </c>
      <c r="K25" s="26" t="b">
        <f aca="false">TRUE()</f>
        <v>1</v>
      </c>
      <c r="L25" s="26" t="b">
        <f aca="false">FALSE()</f>
        <v>0</v>
      </c>
      <c r="M25" s="21" t="s">
        <v>121</v>
      </c>
    </row>
    <row r="26" customFormat="false" ht="18" hidden="false" customHeight="true" outlineLevel="0" collapsed="false">
      <c r="A26" s="15" t="s">
        <v>122</v>
      </c>
      <c r="B26" s="15" t="s">
        <v>87</v>
      </c>
      <c r="C26" s="15" t="s">
        <v>123</v>
      </c>
      <c r="D26" s="15" t="n">
        <v>7.61890469647636E+018</v>
      </c>
      <c r="E26" s="15" t="s">
        <v>124</v>
      </c>
      <c r="F26" s="16" t="s">
        <v>35</v>
      </c>
      <c r="G26" s="17" t="n">
        <v>0</v>
      </c>
      <c r="H26" s="18" t="n">
        <v>0</v>
      </c>
      <c r="I26" s="19" t="n">
        <v>0</v>
      </c>
      <c r="J26" s="17" t="n">
        <v>76.67</v>
      </c>
      <c r="K26" s="20" t="b">
        <f aca="false">TRUE()</f>
        <v>1</v>
      </c>
      <c r="L26" s="20" t="b">
        <f aca="false">FALSE()</f>
        <v>0</v>
      </c>
      <c r="M26" s="15" t="s">
        <v>125</v>
      </c>
    </row>
    <row r="27" customFormat="false" ht="18" hidden="false" customHeight="true" outlineLevel="0" collapsed="false">
      <c r="A27" s="21" t="s">
        <v>126</v>
      </c>
      <c r="B27" s="21" t="s">
        <v>42</v>
      </c>
      <c r="C27" s="21" t="s">
        <v>127</v>
      </c>
      <c r="D27" s="21" t="n">
        <v>7.61928109768337E+018</v>
      </c>
      <c r="E27" s="21" t="s">
        <v>128</v>
      </c>
      <c r="F27" s="22" t="s">
        <v>35</v>
      </c>
      <c r="G27" s="23" t="n">
        <v>0</v>
      </c>
      <c r="H27" s="24" t="n">
        <v>0</v>
      </c>
      <c r="I27" s="25" t="n">
        <v>0</v>
      </c>
      <c r="J27" s="23" t="n">
        <v>1.77</v>
      </c>
      <c r="K27" s="26" t="b">
        <f aca="false">FALSE()</f>
        <v>0</v>
      </c>
      <c r="L27" s="26" t="b">
        <f aca="false">FALSE()</f>
        <v>0</v>
      </c>
      <c r="M27" s="21" t="s">
        <v>129</v>
      </c>
    </row>
    <row r="28" customFormat="false" ht="18" hidden="false" customHeight="true" outlineLevel="0" collapsed="false">
      <c r="A28" s="15" t="s">
        <v>114</v>
      </c>
      <c r="B28" s="15" t="s">
        <v>130</v>
      </c>
      <c r="C28" s="15" t="s">
        <v>131</v>
      </c>
      <c r="D28" s="15" t="n">
        <v>7.61853453931651E+018</v>
      </c>
      <c r="E28" s="15" t="s">
        <v>132</v>
      </c>
      <c r="F28" s="16" t="s">
        <v>35</v>
      </c>
      <c r="G28" s="17" t="n">
        <v>0</v>
      </c>
      <c r="H28" s="18" t="n">
        <v>0</v>
      </c>
      <c r="I28" s="19" t="n">
        <v>0</v>
      </c>
      <c r="J28" s="17" t="n">
        <v>0</v>
      </c>
      <c r="K28" s="20" t="b">
        <f aca="false">FALSE()</f>
        <v>0</v>
      </c>
      <c r="L28" s="20" t="b">
        <f aca="false">FALSE()</f>
        <v>0</v>
      </c>
      <c r="M28" s="15" t="s">
        <v>133</v>
      </c>
    </row>
    <row r="29" customFormat="false" ht="18" hidden="false" customHeight="true" outlineLevel="0" collapsed="false">
      <c r="A29" s="31" t="s">
        <v>134</v>
      </c>
      <c r="B29" s="31" t="s">
        <v>135</v>
      </c>
      <c r="C29" s="31" t="s">
        <v>136</v>
      </c>
      <c r="D29" s="31" t="n">
        <v>7.62039970314598E+018</v>
      </c>
      <c r="E29" s="31"/>
      <c r="F29" s="32" t="s">
        <v>137</v>
      </c>
      <c r="G29" s="33"/>
      <c r="H29" s="33"/>
      <c r="I29" s="33"/>
      <c r="J29" s="33"/>
      <c r="K29" s="34" t="b">
        <f aca="false">FALSE()</f>
        <v>0</v>
      </c>
      <c r="L29" s="34" t="b">
        <f aca="false">FALSE()</f>
        <v>0</v>
      </c>
      <c r="M29" s="31" t="s">
        <v>138</v>
      </c>
    </row>
    <row r="30" customFormat="false" ht="18" hidden="false" customHeight="true" outlineLevel="0" collapsed="false">
      <c r="A30" s="15" t="s">
        <v>139</v>
      </c>
      <c r="B30" s="15" t="s">
        <v>54</v>
      </c>
      <c r="C30" s="15" t="s">
        <v>140</v>
      </c>
      <c r="D30" s="15" t="n">
        <v>7.62073553326991E+018</v>
      </c>
      <c r="E30" s="15" t="s">
        <v>141</v>
      </c>
      <c r="F30" s="16" t="s">
        <v>35</v>
      </c>
      <c r="G30" s="17" t="n">
        <v>0</v>
      </c>
      <c r="H30" s="18" t="n">
        <v>0</v>
      </c>
      <c r="I30" s="19" t="n">
        <v>0</v>
      </c>
      <c r="J30" s="17" t="n">
        <v>0.46</v>
      </c>
      <c r="K30" s="20" t="b">
        <f aca="false">TRUE()</f>
        <v>1</v>
      </c>
      <c r="L30" s="20" t="b">
        <f aca="false">FALSE()</f>
        <v>0</v>
      </c>
      <c r="M30" s="15" t="s">
        <v>142</v>
      </c>
    </row>
    <row r="31" customFormat="false" ht="18" hidden="false" customHeight="true" outlineLevel="0" collapsed="false">
      <c r="A31" s="21" t="s">
        <v>143</v>
      </c>
      <c r="B31" s="21" t="s">
        <v>32</v>
      </c>
      <c r="C31" s="21" t="s">
        <v>144</v>
      </c>
      <c r="D31" s="21" t="n">
        <v>7.62113938656599E+018</v>
      </c>
      <c r="E31" s="21" t="s">
        <v>145</v>
      </c>
      <c r="F31" s="22" t="s">
        <v>35</v>
      </c>
      <c r="G31" s="23" t="n">
        <v>1106.74</v>
      </c>
      <c r="H31" s="24" t="n">
        <v>2.32</v>
      </c>
      <c r="I31" s="25" t="n">
        <v>4</v>
      </c>
      <c r="J31" s="23" t="n">
        <v>476.35</v>
      </c>
      <c r="K31" s="26" t="b">
        <f aca="false">TRUE()</f>
        <v>1</v>
      </c>
      <c r="L31" s="26" t="b">
        <f aca="false">FALSE()</f>
        <v>0</v>
      </c>
      <c r="M31" s="21" t="s">
        <v>146</v>
      </c>
    </row>
    <row r="32" customFormat="false" ht="18" hidden="false" customHeight="true" outlineLevel="0" collapsed="false">
      <c r="A32" s="15" t="s">
        <v>143</v>
      </c>
      <c r="B32" s="15" t="s">
        <v>99</v>
      </c>
      <c r="C32" s="15" t="s">
        <v>147</v>
      </c>
      <c r="D32" s="15" t="n">
        <v>7.62114028177302E+018</v>
      </c>
      <c r="E32" s="15" t="s">
        <v>148</v>
      </c>
      <c r="F32" s="16" t="s">
        <v>35</v>
      </c>
      <c r="G32" s="17" t="n">
        <v>370.53</v>
      </c>
      <c r="H32" s="18" t="n">
        <v>41.63</v>
      </c>
      <c r="I32" s="19" t="n">
        <v>2</v>
      </c>
      <c r="J32" s="17" t="n">
        <v>8.92</v>
      </c>
      <c r="K32" s="20" t="b">
        <f aca="false">FALSE()</f>
        <v>0</v>
      </c>
      <c r="L32" s="20" t="b">
        <f aca="false">FALSE()</f>
        <v>0</v>
      </c>
      <c r="M32" s="15" t="s">
        <v>149</v>
      </c>
    </row>
    <row r="33" customFormat="false" ht="18" hidden="false" customHeight="true" outlineLevel="0" collapsed="false">
      <c r="A33" s="27" t="s">
        <v>150</v>
      </c>
      <c r="B33" s="27" t="s">
        <v>135</v>
      </c>
      <c r="C33" s="27" t="s">
        <v>151</v>
      </c>
      <c r="D33" s="27"/>
      <c r="E33" s="27"/>
      <c r="F33" s="28" t="s">
        <v>53</v>
      </c>
      <c r="G33" s="29"/>
      <c r="H33" s="29"/>
      <c r="I33" s="29"/>
      <c r="J33" s="29"/>
      <c r="K33" s="30" t="b">
        <f aca="false">FALSE()</f>
        <v>0</v>
      </c>
      <c r="L33" s="30" t="b">
        <f aca="false">FALSE()</f>
        <v>0</v>
      </c>
      <c r="M33" s="27" t="s">
        <v>152</v>
      </c>
    </row>
    <row r="34" customFormat="false" ht="18" hidden="false" customHeight="true" outlineLevel="0" collapsed="false">
      <c r="A34" s="27" t="s">
        <v>153</v>
      </c>
      <c r="B34" s="27" t="s">
        <v>47</v>
      </c>
      <c r="C34" s="27" t="s">
        <v>154</v>
      </c>
      <c r="D34" s="27"/>
      <c r="E34" s="27"/>
      <c r="F34" s="28" t="s">
        <v>53</v>
      </c>
      <c r="G34" s="29"/>
      <c r="H34" s="29"/>
      <c r="I34" s="29"/>
      <c r="J34" s="29"/>
      <c r="K34" s="30" t="b">
        <f aca="false">TRUE()</f>
        <v>1</v>
      </c>
      <c r="L34" s="30" t="b">
        <f aca="false">FALSE()</f>
        <v>0</v>
      </c>
      <c r="M34" s="27" t="s">
        <v>155</v>
      </c>
    </row>
    <row r="35" customFormat="false" ht="18" hidden="false" customHeight="true" outlineLevel="0" collapsed="false">
      <c r="A35" s="27" t="s">
        <v>153</v>
      </c>
      <c r="B35" s="27" t="s">
        <v>135</v>
      </c>
      <c r="C35" s="27" t="s">
        <v>156</v>
      </c>
      <c r="D35" s="27"/>
      <c r="E35" s="27"/>
      <c r="F35" s="28" t="s">
        <v>53</v>
      </c>
      <c r="G35" s="29"/>
      <c r="H35" s="29"/>
      <c r="I35" s="29"/>
      <c r="J35" s="29"/>
      <c r="K35" s="30" t="b">
        <f aca="false">FALSE()</f>
        <v>0</v>
      </c>
      <c r="L35" s="30" t="b">
        <f aca="false">FALSE()</f>
        <v>0</v>
      </c>
      <c r="M35" s="27" t="s">
        <v>157</v>
      </c>
    </row>
    <row r="36" customFormat="false" ht="18" hidden="false" customHeight="true" outlineLevel="0" collapsed="false">
      <c r="A36" s="27" t="s">
        <v>158</v>
      </c>
      <c r="B36" s="27" t="s">
        <v>42</v>
      </c>
      <c r="C36" s="27" t="s">
        <v>159</v>
      </c>
      <c r="D36" s="27"/>
      <c r="E36" s="27"/>
      <c r="F36" s="28" t="s">
        <v>53</v>
      </c>
      <c r="G36" s="29"/>
      <c r="H36" s="29"/>
      <c r="I36" s="29"/>
      <c r="J36" s="29"/>
      <c r="K36" s="30" t="b">
        <f aca="false">TRUE()</f>
        <v>1</v>
      </c>
      <c r="L36" s="30" t="b">
        <f aca="false">FALSE()</f>
        <v>0</v>
      </c>
      <c r="M36" s="27" t="s">
        <v>160</v>
      </c>
    </row>
    <row r="37" customFormat="false" ht="18" hidden="false" customHeight="true" outlineLevel="0" collapsed="false">
      <c r="A37" s="31" t="s">
        <v>161</v>
      </c>
      <c r="B37" s="31" t="s">
        <v>32</v>
      </c>
      <c r="C37" s="31" t="s">
        <v>162</v>
      </c>
      <c r="D37" s="31" t="n">
        <v>7.62299672380311E+018</v>
      </c>
      <c r="E37" s="31"/>
      <c r="F37" s="32" t="s">
        <v>137</v>
      </c>
      <c r="G37" s="33"/>
      <c r="H37" s="33"/>
      <c r="I37" s="33"/>
      <c r="J37" s="33"/>
      <c r="K37" s="34" t="b">
        <f aca="false">FALSE()</f>
        <v>0</v>
      </c>
      <c r="L37" s="34" t="b">
        <f aca="false">FALSE()</f>
        <v>0</v>
      </c>
      <c r="M37" s="31" t="s">
        <v>163</v>
      </c>
    </row>
    <row r="38" customFormat="false" ht="18" hidden="false" customHeight="true" outlineLevel="0" collapsed="false">
      <c r="A38" s="27" t="s">
        <v>164</v>
      </c>
      <c r="B38" s="27" t="s">
        <v>42</v>
      </c>
      <c r="C38" s="27" t="s">
        <v>165</v>
      </c>
      <c r="D38" s="27"/>
      <c r="E38" s="27"/>
      <c r="F38" s="28" t="s">
        <v>53</v>
      </c>
      <c r="G38" s="29"/>
      <c r="H38" s="29"/>
      <c r="I38" s="29"/>
      <c r="J38" s="29"/>
      <c r="K38" s="30" t="b">
        <f aca="false">FALSE()</f>
        <v>0</v>
      </c>
      <c r="L38" s="30" t="b">
        <f aca="false">FALSE()</f>
        <v>0</v>
      </c>
      <c r="M38" s="27" t="s">
        <v>166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5" min="4" style="0" width="22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9" min="8" style="0" width="8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0" width="30"/>
  </cols>
  <sheetData>
    <row r="1" customFormat="false" ht="31.5" hidden="false" customHeight="true" outlineLevel="0" collapsed="false">
      <c r="A1" s="13" t="s">
        <v>167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customFormat="false" ht="19.5" hidden="false" customHeight="true" outlineLevel="0" collapsed="false">
      <c r="A2" s="14" t="s">
        <v>168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customFormat="false" ht="21.75" hidden="false" customHeight="true" outlineLevel="0" collapsed="false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s="3" t="s">
        <v>30</v>
      </c>
    </row>
    <row r="4" customFormat="false" ht="18" hidden="false" customHeight="true" outlineLevel="0" collapsed="false">
      <c r="A4" s="15" t="s">
        <v>31</v>
      </c>
      <c r="B4" s="15" t="s">
        <v>169</v>
      </c>
      <c r="C4" s="15" t="s">
        <v>170</v>
      </c>
      <c r="D4" s="15" t="n">
        <v>7.61260623461681E+018</v>
      </c>
      <c r="E4" s="15" t="s">
        <v>171</v>
      </c>
      <c r="F4" s="16" t="s">
        <v>35</v>
      </c>
      <c r="G4" s="17" t="n">
        <v>0</v>
      </c>
      <c r="H4" s="18" t="n">
        <v>0</v>
      </c>
      <c r="I4" s="19" t="n">
        <v>0</v>
      </c>
      <c r="J4" s="17" t="n">
        <v>0</v>
      </c>
      <c r="K4" s="20" t="b">
        <f aca="false">TRUE()</f>
        <v>1</v>
      </c>
      <c r="L4" s="20" t="b">
        <f aca="false">FALSE()</f>
        <v>0</v>
      </c>
      <c r="M4" s="15" t="s">
        <v>172</v>
      </c>
    </row>
    <row r="5" customFormat="false" ht="18" hidden="false" customHeight="true" outlineLevel="0" collapsed="false">
      <c r="A5" s="21" t="s">
        <v>41</v>
      </c>
      <c r="B5" s="21" t="s">
        <v>54</v>
      </c>
      <c r="C5" s="21" t="s">
        <v>173</v>
      </c>
      <c r="D5" s="21" t="n">
        <v>7.61371442536696E+018</v>
      </c>
      <c r="E5" s="21" t="s">
        <v>174</v>
      </c>
      <c r="F5" s="22" t="s">
        <v>35</v>
      </c>
      <c r="G5" s="23" t="n">
        <v>0</v>
      </c>
      <c r="H5" s="24" t="n">
        <v>0</v>
      </c>
      <c r="I5" s="25" t="n">
        <v>0</v>
      </c>
      <c r="J5" s="23" t="n">
        <v>0</v>
      </c>
      <c r="K5" s="26" t="b">
        <f aca="false">TRUE()</f>
        <v>1</v>
      </c>
      <c r="L5" s="26" t="b">
        <f aca="false">FALSE()</f>
        <v>0</v>
      </c>
      <c r="M5" s="21" t="s">
        <v>175</v>
      </c>
    </row>
    <row r="6" customFormat="false" ht="18" hidden="false" customHeight="true" outlineLevel="0" collapsed="false">
      <c r="A6" s="27" t="s">
        <v>41</v>
      </c>
      <c r="B6" s="27" t="s">
        <v>32</v>
      </c>
      <c r="C6" s="27" t="s">
        <v>176</v>
      </c>
      <c r="D6" s="27"/>
      <c r="E6" s="27"/>
      <c r="F6" s="28" t="s">
        <v>53</v>
      </c>
      <c r="G6" s="29"/>
      <c r="H6" s="29"/>
      <c r="I6" s="29"/>
      <c r="J6" s="29"/>
      <c r="K6" s="30" t="b">
        <f aca="false">FALSE()</f>
        <v>0</v>
      </c>
      <c r="L6" s="30" t="b">
        <f aca="false">FALSE()</f>
        <v>0</v>
      </c>
      <c r="M6" s="27"/>
    </row>
    <row r="7" customFormat="false" ht="18" hidden="false" customHeight="true" outlineLevel="0" collapsed="false">
      <c r="A7" s="21" t="s">
        <v>46</v>
      </c>
      <c r="B7" s="21" t="s">
        <v>177</v>
      </c>
      <c r="C7" s="21" t="s">
        <v>178</v>
      </c>
      <c r="D7" s="21" t="n">
        <v>7.61332917284433E+018</v>
      </c>
      <c r="E7" s="21" t="s">
        <v>179</v>
      </c>
      <c r="F7" s="22" t="s">
        <v>35</v>
      </c>
      <c r="G7" s="23" t="n">
        <v>0</v>
      </c>
      <c r="H7" s="24" t="n">
        <v>0</v>
      </c>
      <c r="I7" s="25" t="n">
        <v>0</v>
      </c>
      <c r="J7" s="23" t="n">
        <v>0</v>
      </c>
      <c r="K7" s="26" t="b">
        <f aca="false">FALSE()</f>
        <v>0</v>
      </c>
      <c r="L7" s="26" t="b">
        <f aca="false">FALSE()</f>
        <v>0</v>
      </c>
      <c r="M7" s="21" t="s">
        <v>180</v>
      </c>
    </row>
    <row r="8" customFormat="false" ht="18" hidden="false" customHeight="true" outlineLevel="0" collapsed="false">
      <c r="A8" s="27" t="s">
        <v>51</v>
      </c>
      <c r="B8" s="27" t="s">
        <v>87</v>
      </c>
      <c r="C8" s="27" t="s">
        <v>181</v>
      </c>
      <c r="D8" s="27"/>
      <c r="E8" s="27"/>
      <c r="F8" s="28" t="s">
        <v>53</v>
      </c>
      <c r="G8" s="29"/>
      <c r="H8" s="29"/>
      <c r="I8" s="29"/>
      <c r="J8" s="29"/>
      <c r="K8" s="30" t="b">
        <f aca="false">FALSE()</f>
        <v>0</v>
      </c>
      <c r="L8" s="30" t="b">
        <f aca="false">FALSE()</f>
        <v>0</v>
      </c>
      <c r="M8" s="27"/>
    </row>
    <row r="9" customFormat="false" ht="18" hidden="false" customHeight="true" outlineLevel="0" collapsed="false">
      <c r="A9" s="21" t="s">
        <v>61</v>
      </c>
      <c r="B9" s="21" t="s">
        <v>42</v>
      </c>
      <c r="C9" s="21" t="s">
        <v>182</v>
      </c>
      <c r="D9" s="21" t="n">
        <v>7.61371659277345E+018</v>
      </c>
      <c r="E9" s="21" t="s">
        <v>183</v>
      </c>
      <c r="F9" s="22" t="s">
        <v>35</v>
      </c>
      <c r="G9" s="23" t="n">
        <v>0</v>
      </c>
      <c r="H9" s="24" t="n">
        <v>0</v>
      </c>
      <c r="I9" s="25" t="n">
        <v>0</v>
      </c>
      <c r="J9" s="23" t="n">
        <v>0</v>
      </c>
      <c r="K9" s="26" t="b">
        <f aca="false">TRUE()</f>
        <v>1</v>
      </c>
      <c r="L9" s="26" t="b">
        <f aca="false">FALSE()</f>
        <v>0</v>
      </c>
      <c r="M9" s="21" t="s">
        <v>184</v>
      </c>
    </row>
    <row r="10" customFormat="false" ht="18" hidden="false" customHeight="true" outlineLevel="0" collapsed="false">
      <c r="A10" s="15" t="s">
        <v>61</v>
      </c>
      <c r="B10" s="15" t="s">
        <v>47</v>
      </c>
      <c r="C10" s="15" t="s">
        <v>185</v>
      </c>
      <c r="D10" s="15" t="n">
        <v>7.61370503177418E+018</v>
      </c>
      <c r="E10" s="15" t="s">
        <v>186</v>
      </c>
      <c r="F10" s="16" t="s">
        <v>35</v>
      </c>
      <c r="G10" s="17" t="n">
        <v>0</v>
      </c>
      <c r="H10" s="18" t="n">
        <v>0</v>
      </c>
      <c r="I10" s="19" t="n">
        <v>0</v>
      </c>
      <c r="J10" s="17" t="n">
        <v>0</v>
      </c>
      <c r="K10" s="20" t="b">
        <f aca="false">TRUE()</f>
        <v>1</v>
      </c>
      <c r="L10" s="20" t="b">
        <f aca="false">FALSE()</f>
        <v>0</v>
      </c>
      <c r="M10" s="15" t="s">
        <v>187</v>
      </c>
    </row>
    <row r="11" customFormat="false" ht="18" hidden="false" customHeight="true" outlineLevel="0" collapsed="false">
      <c r="A11" s="21" t="s">
        <v>69</v>
      </c>
      <c r="B11" s="21" t="s">
        <v>37</v>
      </c>
      <c r="C11" s="21" t="s">
        <v>188</v>
      </c>
      <c r="D11" s="21" t="n">
        <v>7.61408556463925E+018</v>
      </c>
      <c r="E11" s="21" t="s">
        <v>189</v>
      </c>
      <c r="F11" s="22" t="s">
        <v>35</v>
      </c>
      <c r="G11" s="23" t="n">
        <v>0</v>
      </c>
      <c r="H11" s="24" t="n">
        <v>0</v>
      </c>
      <c r="I11" s="25" t="n">
        <v>0</v>
      </c>
      <c r="J11" s="23" t="n">
        <v>0</v>
      </c>
      <c r="K11" s="26" t="b">
        <f aca="false">FALSE()</f>
        <v>0</v>
      </c>
      <c r="L11" s="26" t="b">
        <f aca="false">FALSE()</f>
        <v>0</v>
      </c>
      <c r="M11" s="21" t="s">
        <v>190</v>
      </c>
    </row>
    <row r="12" customFormat="false" ht="18" hidden="false" customHeight="true" outlineLevel="0" collapsed="false">
      <c r="A12" s="15" t="s">
        <v>69</v>
      </c>
      <c r="B12" s="15" t="s">
        <v>191</v>
      </c>
      <c r="C12" s="15" t="s">
        <v>192</v>
      </c>
      <c r="D12" s="15" t="n">
        <v>7.6155602889679E+018</v>
      </c>
      <c r="E12" s="15" t="s">
        <v>193</v>
      </c>
      <c r="F12" s="16" t="s">
        <v>35</v>
      </c>
      <c r="G12" s="17" t="n">
        <v>0</v>
      </c>
      <c r="H12" s="18" t="n">
        <v>0</v>
      </c>
      <c r="I12" s="19" t="n">
        <v>0</v>
      </c>
      <c r="J12" s="17" t="n">
        <v>0</v>
      </c>
      <c r="K12" s="20" t="b">
        <f aca="false">FALSE()</f>
        <v>0</v>
      </c>
      <c r="L12" s="20" t="b">
        <f aca="false">FALSE()</f>
        <v>0</v>
      </c>
      <c r="M12" s="15" t="s">
        <v>194</v>
      </c>
    </row>
    <row r="13" customFormat="false" ht="18" hidden="false" customHeight="true" outlineLevel="0" collapsed="false">
      <c r="A13" s="27" t="s">
        <v>73</v>
      </c>
      <c r="B13" s="27" t="s">
        <v>42</v>
      </c>
      <c r="C13" s="27" t="s">
        <v>195</v>
      </c>
      <c r="D13" s="27"/>
      <c r="E13" s="27"/>
      <c r="F13" s="28" t="s">
        <v>53</v>
      </c>
      <c r="G13" s="29"/>
      <c r="H13" s="29"/>
      <c r="I13" s="29"/>
      <c r="J13" s="29"/>
      <c r="K13" s="30" t="b">
        <f aca="false">FALSE()</f>
        <v>0</v>
      </c>
      <c r="L13" s="30" t="b">
        <f aca="false">FALSE()</f>
        <v>0</v>
      </c>
      <c r="M13" s="27"/>
    </row>
    <row r="14" customFormat="false" ht="18" hidden="false" customHeight="true" outlineLevel="0" collapsed="false">
      <c r="A14" s="15" t="s">
        <v>73</v>
      </c>
      <c r="B14" s="15" t="s">
        <v>32</v>
      </c>
      <c r="C14" s="15" t="s">
        <v>196</v>
      </c>
      <c r="D14" s="15" t="n">
        <v>7.61555817818452E+018</v>
      </c>
      <c r="E14" s="15" t="s">
        <v>197</v>
      </c>
      <c r="F14" s="16" t="s">
        <v>35</v>
      </c>
      <c r="G14" s="17" t="n">
        <v>0</v>
      </c>
      <c r="H14" s="18" t="n">
        <v>0</v>
      </c>
      <c r="I14" s="19" t="n">
        <v>0</v>
      </c>
      <c r="J14" s="17" t="n">
        <v>27.38</v>
      </c>
      <c r="K14" s="20" t="b">
        <f aca="false">FALSE()</f>
        <v>0</v>
      </c>
      <c r="L14" s="20" t="b">
        <f aca="false">FALSE()</f>
        <v>0</v>
      </c>
      <c r="M14" s="15" t="s">
        <v>198</v>
      </c>
    </row>
    <row r="15" customFormat="false" ht="18" hidden="false" customHeight="true" outlineLevel="0" collapsed="false">
      <c r="A15" s="21" t="s">
        <v>77</v>
      </c>
      <c r="B15" s="21" t="s">
        <v>47</v>
      </c>
      <c r="C15" s="21" t="s">
        <v>199</v>
      </c>
      <c r="D15" s="21" t="n">
        <v>7.61599015935142E+018</v>
      </c>
      <c r="E15" s="21" t="s">
        <v>200</v>
      </c>
      <c r="F15" s="22" t="s">
        <v>35</v>
      </c>
      <c r="G15" s="23" t="n">
        <v>0</v>
      </c>
      <c r="H15" s="24" t="n">
        <v>0</v>
      </c>
      <c r="I15" s="25" t="n">
        <v>0</v>
      </c>
      <c r="J15" s="23" t="n">
        <v>0.02</v>
      </c>
      <c r="K15" s="26" t="b">
        <f aca="false">FALSE()</f>
        <v>0</v>
      </c>
      <c r="L15" s="26" t="b">
        <f aca="false">FALSE()</f>
        <v>0</v>
      </c>
      <c r="M15" s="21" t="s">
        <v>201</v>
      </c>
    </row>
    <row r="16" customFormat="false" ht="18" hidden="false" customHeight="true" outlineLevel="0" collapsed="false">
      <c r="A16" s="15" t="s">
        <v>77</v>
      </c>
      <c r="B16" s="15" t="s">
        <v>87</v>
      </c>
      <c r="C16" s="15" t="s">
        <v>202</v>
      </c>
      <c r="D16" s="15" t="n">
        <v>7.61598207278351E+018</v>
      </c>
      <c r="E16" s="15" t="s">
        <v>203</v>
      </c>
      <c r="F16" s="16" t="s">
        <v>35</v>
      </c>
      <c r="G16" s="17" t="n">
        <v>0</v>
      </c>
      <c r="H16" s="18" t="n">
        <v>0</v>
      </c>
      <c r="I16" s="19" t="n">
        <v>0</v>
      </c>
      <c r="J16" s="17" t="n">
        <v>2.24</v>
      </c>
      <c r="K16" s="20" t="b">
        <f aca="false">FALSE()</f>
        <v>0</v>
      </c>
      <c r="L16" s="20" t="b">
        <f aca="false">FALSE()</f>
        <v>0</v>
      </c>
      <c r="M16" s="15" t="s">
        <v>204</v>
      </c>
    </row>
    <row r="17" customFormat="false" ht="18" hidden="false" customHeight="true" outlineLevel="0" collapsed="false">
      <c r="A17" s="21" t="s">
        <v>82</v>
      </c>
      <c r="B17" s="21" t="s">
        <v>54</v>
      </c>
      <c r="C17" s="21" t="s">
        <v>205</v>
      </c>
      <c r="D17" s="21" t="n">
        <v>7.61774882844325E+018</v>
      </c>
      <c r="E17" s="21" t="s">
        <v>206</v>
      </c>
      <c r="F17" s="22" t="s">
        <v>35</v>
      </c>
      <c r="G17" s="23" t="n">
        <v>0</v>
      </c>
      <c r="H17" s="24" t="n">
        <v>0</v>
      </c>
      <c r="I17" s="25" t="n">
        <v>0</v>
      </c>
      <c r="J17" s="23" t="n">
        <v>0</v>
      </c>
      <c r="K17" s="26" t="b">
        <f aca="false">FALSE()</f>
        <v>0</v>
      </c>
      <c r="L17" s="26" t="b">
        <f aca="false">FALSE()</f>
        <v>0</v>
      </c>
      <c r="M17" s="21" t="s">
        <v>207</v>
      </c>
    </row>
    <row r="18" customFormat="false" ht="18" hidden="false" customHeight="true" outlineLevel="0" collapsed="false">
      <c r="A18" s="31" t="s">
        <v>91</v>
      </c>
      <c r="B18" s="31" t="s">
        <v>169</v>
      </c>
      <c r="C18" s="31" t="s">
        <v>208</v>
      </c>
      <c r="D18" s="31" t="n">
        <v>7.61771500805464E+018</v>
      </c>
      <c r="E18" s="31"/>
      <c r="F18" s="32" t="s">
        <v>137</v>
      </c>
      <c r="G18" s="33"/>
      <c r="H18" s="33"/>
      <c r="I18" s="33"/>
      <c r="J18" s="33"/>
      <c r="K18" s="34" t="b">
        <f aca="false">FALSE()</f>
        <v>0</v>
      </c>
      <c r="L18" s="34" t="b">
        <f aca="false">FALSE()</f>
        <v>0</v>
      </c>
      <c r="M18" s="31" t="s">
        <v>209</v>
      </c>
    </row>
    <row r="19" customFormat="false" ht="18" hidden="false" customHeight="true" outlineLevel="0" collapsed="false">
      <c r="A19" s="21" t="s">
        <v>103</v>
      </c>
      <c r="B19" s="21" t="s">
        <v>32</v>
      </c>
      <c r="C19" s="21" t="s">
        <v>210</v>
      </c>
      <c r="D19" s="21" t="n">
        <v>7.61854172579501E+018</v>
      </c>
      <c r="E19" s="21" t="s">
        <v>211</v>
      </c>
      <c r="F19" s="22" t="s">
        <v>35</v>
      </c>
      <c r="G19" s="23" t="n">
        <v>0</v>
      </c>
      <c r="H19" s="24" t="n">
        <v>0</v>
      </c>
      <c r="I19" s="25" t="n">
        <v>0</v>
      </c>
      <c r="J19" s="23" t="n">
        <v>64.34</v>
      </c>
      <c r="K19" s="26" t="b">
        <f aca="false">TRUE()</f>
        <v>1</v>
      </c>
      <c r="L19" s="26" t="b">
        <f aca="false">FALSE()</f>
        <v>0</v>
      </c>
      <c r="M19" s="21" t="s">
        <v>212</v>
      </c>
    </row>
    <row r="20" customFormat="false" ht="18" hidden="false" customHeight="true" outlineLevel="0" collapsed="false">
      <c r="A20" s="31" t="s">
        <v>110</v>
      </c>
      <c r="B20" s="31" t="s">
        <v>213</v>
      </c>
      <c r="C20" s="31" t="s">
        <v>214</v>
      </c>
      <c r="D20" s="31" t="n">
        <v>7.61928210729442E+018</v>
      </c>
      <c r="E20" s="31"/>
      <c r="F20" s="32" t="s">
        <v>137</v>
      </c>
      <c r="G20" s="33"/>
      <c r="H20" s="33"/>
      <c r="I20" s="33"/>
      <c r="J20" s="33"/>
      <c r="K20" s="34" t="b">
        <f aca="false">FALSE()</f>
        <v>0</v>
      </c>
      <c r="L20" s="34" t="b">
        <f aca="false">FALSE()</f>
        <v>0</v>
      </c>
      <c r="M20" s="31" t="s">
        <v>215</v>
      </c>
    </row>
    <row r="21" customFormat="false" ht="18" hidden="false" customHeight="true" outlineLevel="0" collapsed="false">
      <c r="A21" s="21" t="s">
        <v>114</v>
      </c>
      <c r="B21" s="21" t="s">
        <v>135</v>
      </c>
      <c r="C21" s="21" t="s">
        <v>216</v>
      </c>
      <c r="D21" s="21" t="n">
        <v>7.61821683485202E+018</v>
      </c>
      <c r="E21" s="21" t="s">
        <v>217</v>
      </c>
      <c r="F21" s="22" t="s">
        <v>35</v>
      </c>
      <c r="G21" s="23" t="n">
        <v>0</v>
      </c>
      <c r="H21" s="24" t="n">
        <v>0</v>
      </c>
      <c r="I21" s="25" t="n">
        <v>0</v>
      </c>
      <c r="J21" s="23" t="n">
        <v>0</v>
      </c>
      <c r="K21" s="26" t="b">
        <f aca="false">TRUE()</f>
        <v>1</v>
      </c>
      <c r="L21" s="26" t="b">
        <f aca="false">FALSE()</f>
        <v>0</v>
      </c>
      <c r="M21" s="21" t="s">
        <v>218</v>
      </c>
    </row>
    <row r="22" customFormat="false" ht="18" hidden="false" customHeight="true" outlineLevel="0" collapsed="false">
      <c r="A22" s="15" t="s">
        <v>122</v>
      </c>
      <c r="B22" s="15" t="s">
        <v>54</v>
      </c>
      <c r="C22" s="15" t="s">
        <v>219</v>
      </c>
      <c r="D22" s="15" t="n">
        <v>7.61927600580649E+018</v>
      </c>
      <c r="E22" s="15" t="s">
        <v>220</v>
      </c>
      <c r="F22" s="16" t="s">
        <v>35</v>
      </c>
      <c r="G22" s="17" t="n">
        <v>0</v>
      </c>
      <c r="H22" s="18" t="n">
        <v>0</v>
      </c>
      <c r="I22" s="19" t="n">
        <v>0</v>
      </c>
      <c r="J22" s="17" t="n">
        <v>0.99</v>
      </c>
      <c r="K22" s="20" t="b">
        <f aca="false">TRUE()</f>
        <v>1</v>
      </c>
      <c r="L22" s="20" t="b">
        <f aca="false">FALSE()</f>
        <v>0</v>
      </c>
      <c r="M22" s="15" t="s">
        <v>221</v>
      </c>
    </row>
    <row r="23" customFormat="false" ht="18" hidden="false" customHeight="true" outlineLevel="0" collapsed="false">
      <c r="A23" s="21" t="s">
        <v>122</v>
      </c>
      <c r="B23" s="21" t="s">
        <v>37</v>
      </c>
      <c r="C23" s="21" t="s">
        <v>222</v>
      </c>
      <c r="D23" s="21" t="n">
        <v>7.61890577940349E+018</v>
      </c>
      <c r="E23" s="21" t="s">
        <v>223</v>
      </c>
      <c r="F23" s="22" t="s">
        <v>35</v>
      </c>
      <c r="G23" s="23" t="n">
        <v>0</v>
      </c>
      <c r="H23" s="24" t="n">
        <v>0</v>
      </c>
      <c r="I23" s="25" t="n">
        <v>0</v>
      </c>
      <c r="J23" s="23" t="n">
        <v>2.18</v>
      </c>
      <c r="K23" s="26" t="b">
        <f aca="false">TRUE()</f>
        <v>1</v>
      </c>
      <c r="L23" s="26" t="b">
        <f aca="false">FALSE()</f>
        <v>0</v>
      </c>
      <c r="M23" s="21" t="s">
        <v>224</v>
      </c>
    </row>
    <row r="24" customFormat="false" ht="18" hidden="false" customHeight="true" outlineLevel="0" collapsed="false">
      <c r="A24" s="15" t="s">
        <v>126</v>
      </c>
      <c r="B24" s="15" t="s">
        <v>47</v>
      </c>
      <c r="C24" s="15" t="s">
        <v>225</v>
      </c>
      <c r="D24" s="15" t="n">
        <v>7.61928028241965E+018</v>
      </c>
      <c r="E24" s="15" t="s">
        <v>226</v>
      </c>
      <c r="F24" s="16" t="s">
        <v>35</v>
      </c>
      <c r="G24" s="17" t="n">
        <v>0</v>
      </c>
      <c r="H24" s="18" t="n">
        <v>0</v>
      </c>
      <c r="I24" s="19" t="n">
        <v>0</v>
      </c>
      <c r="J24" s="17" t="n">
        <v>5.63</v>
      </c>
      <c r="K24" s="20" t="b">
        <f aca="false">FALSE()</f>
        <v>0</v>
      </c>
      <c r="L24" s="20" t="b">
        <f aca="false">FALSE()</f>
        <v>0</v>
      </c>
      <c r="M24" s="15" t="s">
        <v>227</v>
      </c>
    </row>
    <row r="25" customFormat="false" ht="18" hidden="false" customHeight="true" outlineLevel="0" collapsed="false">
      <c r="A25" s="21" t="s">
        <v>126</v>
      </c>
      <c r="B25" s="21" t="s">
        <v>78</v>
      </c>
      <c r="C25" s="21" t="s">
        <v>228</v>
      </c>
      <c r="D25" s="21" t="n">
        <v>7.61853580607182E+018</v>
      </c>
      <c r="E25" s="21" t="s">
        <v>229</v>
      </c>
      <c r="F25" s="22" t="s">
        <v>35</v>
      </c>
      <c r="G25" s="23" t="n">
        <v>0</v>
      </c>
      <c r="H25" s="24" t="n">
        <v>0</v>
      </c>
      <c r="I25" s="25" t="n">
        <v>0</v>
      </c>
      <c r="J25" s="23" t="n">
        <v>0</v>
      </c>
      <c r="K25" s="26" t="b">
        <f aca="false">TRUE()</f>
        <v>1</v>
      </c>
      <c r="L25" s="26" t="b">
        <f aca="false">FALSE()</f>
        <v>0</v>
      </c>
      <c r="M25" s="21" t="s">
        <v>230</v>
      </c>
    </row>
    <row r="26" customFormat="false" ht="18" hidden="false" customHeight="true" outlineLevel="0" collapsed="false">
      <c r="A26" s="31" t="s">
        <v>126</v>
      </c>
      <c r="B26" s="31" t="s">
        <v>135</v>
      </c>
      <c r="C26" s="31" t="s">
        <v>231</v>
      </c>
      <c r="D26" s="31" t="n">
        <v>7.61927425658903E+018</v>
      </c>
      <c r="E26" s="31"/>
      <c r="F26" s="32" t="s">
        <v>137</v>
      </c>
      <c r="G26" s="33"/>
      <c r="H26" s="33"/>
      <c r="I26" s="33"/>
      <c r="J26" s="33"/>
      <c r="K26" s="34" t="b">
        <f aca="false">FALSE()</f>
        <v>0</v>
      </c>
      <c r="L26" s="34" t="b">
        <f aca="false">FALSE()</f>
        <v>0</v>
      </c>
      <c r="M26" s="31" t="s">
        <v>232</v>
      </c>
    </row>
    <row r="27" customFormat="false" ht="18" hidden="false" customHeight="true" outlineLevel="0" collapsed="false">
      <c r="A27" s="31" t="s">
        <v>134</v>
      </c>
      <c r="B27" s="31" t="s">
        <v>32</v>
      </c>
      <c r="C27" s="31" t="s">
        <v>233</v>
      </c>
      <c r="D27" s="31" t="n">
        <v>7.62297671095432E+018</v>
      </c>
      <c r="E27" s="31"/>
      <c r="F27" s="32" t="s">
        <v>137</v>
      </c>
      <c r="G27" s="33"/>
      <c r="H27" s="33"/>
      <c r="I27" s="33"/>
      <c r="J27" s="33"/>
      <c r="K27" s="34" t="b">
        <f aca="false">FALSE()</f>
        <v>0</v>
      </c>
      <c r="L27" s="34" t="b">
        <f aca="false">FALSE()</f>
        <v>0</v>
      </c>
      <c r="M27" s="31" t="s">
        <v>234</v>
      </c>
    </row>
    <row r="28" customFormat="false" ht="18" hidden="false" customHeight="true" outlineLevel="0" collapsed="false">
      <c r="A28" s="15" t="s">
        <v>134</v>
      </c>
      <c r="B28" s="15" t="s">
        <v>32</v>
      </c>
      <c r="C28" s="15" t="s">
        <v>235</v>
      </c>
      <c r="D28" s="15" t="n">
        <v>7.62040344459926E+018</v>
      </c>
      <c r="E28" s="15" t="s">
        <v>236</v>
      </c>
      <c r="F28" s="16" t="s">
        <v>35</v>
      </c>
      <c r="G28" s="17" t="n">
        <v>0</v>
      </c>
      <c r="H28" s="18" t="n">
        <v>0</v>
      </c>
      <c r="I28" s="19" t="n">
        <v>0</v>
      </c>
      <c r="J28" s="17" t="n">
        <v>2.47</v>
      </c>
      <c r="K28" s="20" t="b">
        <f aca="false">FALSE()</f>
        <v>0</v>
      </c>
      <c r="L28" s="20" t="b">
        <f aca="false">FALSE()</f>
        <v>0</v>
      </c>
      <c r="M28" s="15" t="s">
        <v>237</v>
      </c>
    </row>
    <row r="29" customFormat="false" ht="18" hidden="false" customHeight="true" outlineLevel="0" collapsed="false">
      <c r="A29" s="21" t="s">
        <v>139</v>
      </c>
      <c r="B29" s="21" t="s">
        <v>42</v>
      </c>
      <c r="C29" s="21" t="s">
        <v>238</v>
      </c>
      <c r="D29" s="21" t="n">
        <v>7.62080599398266E+018</v>
      </c>
      <c r="E29" s="21" t="s">
        <v>239</v>
      </c>
      <c r="F29" s="22" t="s">
        <v>35</v>
      </c>
      <c r="G29" s="23" t="n">
        <v>0</v>
      </c>
      <c r="H29" s="24" t="n">
        <v>0</v>
      </c>
      <c r="I29" s="25" t="n">
        <v>0</v>
      </c>
      <c r="J29" s="23" t="n">
        <v>0.94</v>
      </c>
      <c r="K29" s="26" t="b">
        <f aca="false">FALSE()</f>
        <v>0</v>
      </c>
      <c r="L29" s="26" t="b">
        <f aca="false">FALSE()</f>
        <v>0</v>
      </c>
      <c r="M29" s="21" t="s">
        <v>240</v>
      </c>
    </row>
    <row r="30" customFormat="false" ht="18" hidden="false" customHeight="true" outlineLevel="0" collapsed="false">
      <c r="A30" s="31" t="s">
        <v>139</v>
      </c>
      <c r="B30" s="31" t="s">
        <v>37</v>
      </c>
      <c r="C30" s="31" t="s">
        <v>241</v>
      </c>
      <c r="D30" s="31" t="n">
        <v>7.62287092544412E+018</v>
      </c>
      <c r="E30" s="31"/>
      <c r="F30" s="32" t="s">
        <v>137</v>
      </c>
      <c r="G30" s="33"/>
      <c r="H30" s="33"/>
      <c r="I30" s="33"/>
      <c r="J30" s="33"/>
      <c r="K30" s="34" t="b">
        <f aca="false">TRUE()</f>
        <v>1</v>
      </c>
      <c r="L30" s="34" t="b">
        <f aca="false">FALSE()</f>
        <v>0</v>
      </c>
      <c r="M30" s="31" t="s">
        <v>242</v>
      </c>
    </row>
    <row r="31" customFormat="false" ht="18" hidden="false" customHeight="true" outlineLevel="0" collapsed="false">
      <c r="A31" s="21" t="s">
        <v>143</v>
      </c>
      <c r="B31" s="21" t="s">
        <v>42</v>
      </c>
      <c r="C31" s="21" t="s">
        <v>243</v>
      </c>
      <c r="D31" s="21" t="n">
        <v>7.62112882056477E+018</v>
      </c>
      <c r="E31" s="21" t="s">
        <v>244</v>
      </c>
      <c r="F31" s="22" t="s">
        <v>35</v>
      </c>
      <c r="G31" s="23" t="n">
        <v>0</v>
      </c>
      <c r="H31" s="24" t="n">
        <v>0</v>
      </c>
      <c r="I31" s="25" t="n">
        <v>0</v>
      </c>
      <c r="J31" s="23" t="n">
        <v>27.3</v>
      </c>
      <c r="K31" s="26" t="b">
        <f aca="false">TRUE()</f>
        <v>1</v>
      </c>
      <c r="L31" s="26" t="b">
        <f aca="false">FALSE()</f>
        <v>0</v>
      </c>
      <c r="M31" s="21" t="s">
        <v>245</v>
      </c>
    </row>
    <row r="32" customFormat="false" ht="18" hidden="false" customHeight="true" outlineLevel="0" collapsed="false">
      <c r="A32" s="15" t="s">
        <v>150</v>
      </c>
      <c r="B32" s="15" t="s">
        <v>135</v>
      </c>
      <c r="C32" s="15" t="s">
        <v>246</v>
      </c>
      <c r="D32" s="15" t="n">
        <v>7.62154081663645E+018</v>
      </c>
      <c r="E32" s="15" t="s">
        <v>247</v>
      </c>
      <c r="F32" s="16" t="s">
        <v>35</v>
      </c>
      <c r="G32" s="17" t="n">
        <v>0</v>
      </c>
      <c r="H32" s="18" t="n">
        <v>0</v>
      </c>
      <c r="I32" s="19" t="n">
        <v>0</v>
      </c>
      <c r="J32" s="17" t="n">
        <v>0</v>
      </c>
      <c r="K32" s="20" t="b">
        <f aca="false">FALSE()</f>
        <v>0</v>
      </c>
      <c r="L32" s="20" t="b">
        <f aca="false">FALSE()</f>
        <v>0</v>
      </c>
      <c r="M32" s="15" t="s">
        <v>248</v>
      </c>
    </row>
    <row r="33" customFormat="false" ht="18" hidden="false" customHeight="true" outlineLevel="0" collapsed="false">
      <c r="A33" s="21" t="s">
        <v>153</v>
      </c>
      <c r="B33" s="21" t="s">
        <v>32</v>
      </c>
      <c r="C33" s="21" t="s">
        <v>249</v>
      </c>
      <c r="D33" s="21" t="n">
        <v>7.62105526670384E+018</v>
      </c>
      <c r="E33" s="21" t="s">
        <v>250</v>
      </c>
      <c r="F33" s="22" t="s">
        <v>35</v>
      </c>
      <c r="G33" s="23" t="n">
        <v>0</v>
      </c>
      <c r="H33" s="24" t="n">
        <v>0</v>
      </c>
      <c r="I33" s="25" t="n">
        <v>0</v>
      </c>
      <c r="J33" s="23" t="n">
        <v>65.08</v>
      </c>
      <c r="K33" s="26" t="b">
        <f aca="false">FALSE()</f>
        <v>0</v>
      </c>
      <c r="L33" s="26" t="b">
        <f aca="false">FALSE()</f>
        <v>0</v>
      </c>
      <c r="M33" s="21" t="s">
        <v>251</v>
      </c>
    </row>
    <row r="34" customFormat="false" ht="18" hidden="false" customHeight="true" outlineLevel="0" collapsed="false">
      <c r="A34" s="31" t="s">
        <v>153</v>
      </c>
      <c r="B34" s="31" t="s">
        <v>135</v>
      </c>
      <c r="C34" s="31" t="s">
        <v>252</v>
      </c>
      <c r="D34" s="31" t="n">
        <v>7.62186381186735E+018</v>
      </c>
      <c r="E34" s="31"/>
      <c r="F34" s="32" t="s">
        <v>137</v>
      </c>
      <c r="G34" s="33"/>
      <c r="H34" s="33"/>
      <c r="I34" s="33"/>
      <c r="J34" s="33"/>
      <c r="K34" s="34" t="b">
        <f aca="false">FALSE()</f>
        <v>0</v>
      </c>
      <c r="L34" s="34" t="b">
        <f aca="false">FALSE()</f>
        <v>0</v>
      </c>
      <c r="M34" s="31" t="s">
        <v>253</v>
      </c>
    </row>
    <row r="35" customFormat="false" ht="18" hidden="false" customHeight="true" outlineLevel="0" collapsed="false">
      <c r="A35" s="27" t="s">
        <v>161</v>
      </c>
      <c r="B35" s="27" t="s">
        <v>42</v>
      </c>
      <c r="C35" s="27" t="s">
        <v>254</v>
      </c>
      <c r="D35" s="27"/>
      <c r="E35" s="27"/>
      <c r="F35" s="28" t="s">
        <v>53</v>
      </c>
      <c r="G35" s="29"/>
      <c r="H35" s="29"/>
      <c r="I35" s="29"/>
      <c r="J35" s="29"/>
      <c r="K35" s="30" t="b">
        <f aca="false">TRUE()</f>
        <v>1</v>
      </c>
      <c r="L35" s="30" t="b">
        <f aca="false">FALSE()</f>
        <v>0</v>
      </c>
      <c r="M35" s="27"/>
    </row>
    <row r="36" customFormat="false" ht="18" hidden="false" customHeight="true" outlineLevel="0" collapsed="false">
      <c r="A36" s="31" t="s">
        <v>164</v>
      </c>
      <c r="B36" s="31" t="s">
        <v>37</v>
      </c>
      <c r="C36" s="31" t="s">
        <v>255</v>
      </c>
      <c r="D36" s="31" t="n">
        <v>7.62335889361113E+018</v>
      </c>
      <c r="E36" s="31"/>
      <c r="F36" s="32" t="s">
        <v>137</v>
      </c>
      <c r="G36" s="33"/>
      <c r="H36" s="33"/>
      <c r="I36" s="33"/>
      <c r="J36" s="33"/>
      <c r="K36" s="34" t="b">
        <f aca="false">TRUE()</f>
        <v>1</v>
      </c>
      <c r="L36" s="34" t="b">
        <f aca="false">FALSE()</f>
        <v>0</v>
      </c>
      <c r="M36" s="31" t="s">
        <v>256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6" min="6" style="0" width="32"/>
  </cols>
  <sheetData>
    <row r="1" customFormat="false" ht="31.5" hidden="false" customHeight="true" outlineLevel="0" collapsed="false">
      <c r="A1" s="13" t="s">
        <v>257</v>
      </c>
      <c r="B1" s="13"/>
      <c r="C1" s="13"/>
      <c r="D1" s="13"/>
      <c r="E1" s="13"/>
      <c r="F1" s="13"/>
    </row>
    <row r="2" customFormat="false" ht="21.75" hidden="false" customHeight="true" outlineLevel="0" collapsed="false">
      <c r="A2" s="3" t="s">
        <v>258</v>
      </c>
      <c r="B2" s="3" t="s">
        <v>18</v>
      </c>
      <c r="C2" s="3" t="s">
        <v>19</v>
      </c>
      <c r="D2" s="3" t="s">
        <v>259</v>
      </c>
      <c r="E2" s="3" t="s">
        <v>20</v>
      </c>
      <c r="F2" s="3" t="s">
        <v>30</v>
      </c>
    </row>
    <row r="3" customFormat="false" ht="18" hidden="false" customHeight="true" outlineLevel="0" collapsed="false">
      <c r="A3" s="15" t="s">
        <v>4</v>
      </c>
      <c r="B3" s="15" t="s">
        <v>91</v>
      </c>
      <c r="C3" s="15" t="s">
        <v>169</v>
      </c>
      <c r="D3" s="15" t="n">
        <v>7.61771500805464E+018</v>
      </c>
      <c r="E3" s="15" t="s">
        <v>208</v>
      </c>
      <c r="F3" s="15" t="s">
        <v>209</v>
      </c>
    </row>
    <row r="4" customFormat="false" ht="18" hidden="false" customHeight="true" outlineLevel="0" collapsed="false">
      <c r="A4" s="21" t="s">
        <v>4</v>
      </c>
      <c r="B4" s="21" t="s">
        <v>110</v>
      </c>
      <c r="C4" s="21" t="s">
        <v>213</v>
      </c>
      <c r="D4" s="21" t="n">
        <v>7.61928210729442E+018</v>
      </c>
      <c r="E4" s="21" t="s">
        <v>214</v>
      </c>
      <c r="F4" s="21" t="s">
        <v>215</v>
      </c>
    </row>
    <row r="5" customFormat="false" ht="18" hidden="false" customHeight="true" outlineLevel="0" collapsed="false">
      <c r="A5" s="15" t="s">
        <v>4</v>
      </c>
      <c r="B5" s="15" t="s">
        <v>126</v>
      </c>
      <c r="C5" s="15" t="s">
        <v>135</v>
      </c>
      <c r="D5" s="15" t="n">
        <v>7.61927425658903E+018</v>
      </c>
      <c r="E5" s="15" t="s">
        <v>231</v>
      </c>
      <c r="F5" s="15" t="s">
        <v>232</v>
      </c>
    </row>
    <row r="6" customFormat="false" ht="18" hidden="false" customHeight="true" outlineLevel="0" collapsed="false">
      <c r="A6" s="21" t="s">
        <v>4</v>
      </c>
      <c r="B6" s="21" t="s">
        <v>134</v>
      </c>
      <c r="C6" s="21" t="s">
        <v>32</v>
      </c>
      <c r="D6" s="21" t="n">
        <v>7.62297671095432E+018</v>
      </c>
      <c r="E6" s="21" t="s">
        <v>233</v>
      </c>
      <c r="F6" s="21" t="s">
        <v>234</v>
      </c>
    </row>
    <row r="7" customFormat="false" ht="18" hidden="false" customHeight="true" outlineLevel="0" collapsed="false">
      <c r="A7" s="15" t="s">
        <v>3</v>
      </c>
      <c r="B7" s="15" t="s">
        <v>134</v>
      </c>
      <c r="C7" s="15" t="s">
        <v>135</v>
      </c>
      <c r="D7" s="15" t="n">
        <v>7.62039970314598E+018</v>
      </c>
      <c r="E7" s="15" t="s">
        <v>136</v>
      </c>
      <c r="F7" s="15" t="s">
        <v>138</v>
      </c>
    </row>
    <row r="8" customFormat="false" ht="18" hidden="false" customHeight="true" outlineLevel="0" collapsed="false">
      <c r="A8" s="21" t="s">
        <v>4</v>
      </c>
      <c r="B8" s="21" t="s">
        <v>139</v>
      </c>
      <c r="C8" s="21" t="s">
        <v>37</v>
      </c>
      <c r="D8" s="21" t="n">
        <v>7.62287092544412E+018</v>
      </c>
      <c r="E8" s="21" t="s">
        <v>241</v>
      </c>
      <c r="F8" s="21" t="s">
        <v>242</v>
      </c>
    </row>
    <row r="9" customFormat="false" ht="18" hidden="false" customHeight="true" outlineLevel="0" collapsed="false">
      <c r="A9" s="15" t="s">
        <v>4</v>
      </c>
      <c r="B9" s="15" t="s">
        <v>153</v>
      </c>
      <c r="C9" s="15" t="s">
        <v>135</v>
      </c>
      <c r="D9" s="15" t="n">
        <v>7.62186381186735E+018</v>
      </c>
      <c r="E9" s="15" t="s">
        <v>252</v>
      </c>
      <c r="F9" s="15" t="s">
        <v>253</v>
      </c>
    </row>
    <row r="10" customFormat="false" ht="18" hidden="false" customHeight="true" outlineLevel="0" collapsed="false">
      <c r="A10" s="21" t="s">
        <v>3</v>
      </c>
      <c r="B10" s="21" t="s">
        <v>161</v>
      </c>
      <c r="C10" s="21" t="s">
        <v>32</v>
      </c>
      <c r="D10" s="21" t="n">
        <v>7.62299672380311E+018</v>
      </c>
      <c r="E10" s="21" t="s">
        <v>162</v>
      </c>
      <c r="F10" s="21" t="s">
        <v>163</v>
      </c>
    </row>
    <row r="11" customFormat="false" ht="18" hidden="false" customHeight="true" outlineLevel="0" collapsed="false">
      <c r="A11" s="15" t="s">
        <v>4</v>
      </c>
      <c r="B11" s="15" t="s">
        <v>164</v>
      </c>
      <c r="C11" s="15" t="s">
        <v>37</v>
      </c>
      <c r="D11" s="15" t="n">
        <v>7.62335889361113E+018</v>
      </c>
      <c r="E11" s="15" t="s">
        <v>255</v>
      </c>
      <c r="F11" s="15" t="s">
        <v>256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32"/>
  </cols>
  <sheetData>
    <row r="1" customFormat="false" ht="31.5" hidden="false" customHeight="true" outlineLevel="0" collapsed="false">
      <c r="A1" s="13" t="s">
        <v>260</v>
      </c>
      <c r="B1" s="13"/>
      <c r="C1" s="13"/>
      <c r="D1" s="13"/>
      <c r="E1" s="13"/>
      <c r="F1" s="13"/>
    </row>
    <row r="2" customFormat="false" ht="21.75" hidden="false" customHeight="true" outlineLevel="0" collapsed="false">
      <c r="A2" s="3" t="s">
        <v>258</v>
      </c>
      <c r="B2" s="3" t="s">
        <v>18</v>
      </c>
      <c r="C2" s="3" t="s">
        <v>19</v>
      </c>
      <c r="D2" s="3" t="s">
        <v>20</v>
      </c>
      <c r="E2" s="3" t="s">
        <v>261</v>
      </c>
      <c r="F2" s="3" t="s">
        <v>262</v>
      </c>
    </row>
    <row r="3" customFormat="false" ht="18" hidden="false" customHeight="true" outlineLevel="0" collapsed="false">
      <c r="A3" s="15" t="s">
        <v>4</v>
      </c>
      <c r="B3" s="15" t="s">
        <v>41</v>
      </c>
      <c r="C3" s="15" t="s">
        <v>32</v>
      </c>
      <c r="D3" s="15" t="s">
        <v>176</v>
      </c>
      <c r="E3" s="15"/>
      <c r="F3" s="15"/>
    </row>
    <row r="4" customFormat="false" ht="18" hidden="false" customHeight="true" outlineLevel="0" collapsed="false">
      <c r="A4" s="21" t="s">
        <v>3</v>
      </c>
      <c r="B4" s="21" t="s">
        <v>51</v>
      </c>
      <c r="C4" s="21" t="s">
        <v>32</v>
      </c>
      <c r="D4" s="21" t="s">
        <v>52</v>
      </c>
      <c r="E4" s="21"/>
      <c r="F4" s="21" t="s">
        <v>263</v>
      </c>
    </row>
    <row r="5" customFormat="false" ht="18" hidden="false" customHeight="true" outlineLevel="0" collapsed="false">
      <c r="A5" s="15" t="s">
        <v>4</v>
      </c>
      <c r="B5" s="15" t="s">
        <v>51</v>
      </c>
      <c r="C5" s="15" t="s">
        <v>87</v>
      </c>
      <c r="D5" s="15" t="s">
        <v>181</v>
      </c>
      <c r="E5" s="15"/>
      <c r="F5" s="15" t="s">
        <v>263</v>
      </c>
    </row>
    <row r="6" customFormat="false" ht="18" hidden="false" customHeight="true" outlineLevel="0" collapsed="false">
      <c r="A6" s="21" t="s">
        <v>3</v>
      </c>
      <c r="B6" s="21" t="s">
        <v>66</v>
      </c>
      <c r="C6" s="21" t="s">
        <v>67</v>
      </c>
      <c r="D6" s="21" t="s">
        <v>68</v>
      </c>
      <c r="E6" s="21" t="s">
        <v>264</v>
      </c>
      <c r="F6" s="21" t="s">
        <v>265</v>
      </c>
    </row>
    <row r="7" customFormat="false" ht="18" hidden="false" customHeight="true" outlineLevel="0" collapsed="false">
      <c r="A7" s="15" t="s">
        <v>4</v>
      </c>
      <c r="B7" s="15" t="s">
        <v>73</v>
      </c>
      <c r="C7" s="15" t="s">
        <v>42</v>
      </c>
      <c r="D7" s="15" t="s">
        <v>195</v>
      </c>
      <c r="E7" s="15"/>
      <c r="F7" s="15" t="s">
        <v>263</v>
      </c>
    </row>
    <row r="8" customFormat="false" ht="18" hidden="false" customHeight="true" outlineLevel="0" collapsed="false">
      <c r="A8" s="21" t="s">
        <v>3</v>
      </c>
      <c r="B8" s="21" t="s">
        <v>150</v>
      </c>
      <c r="C8" s="21" t="s">
        <v>135</v>
      </c>
      <c r="D8" s="21" t="s">
        <v>151</v>
      </c>
      <c r="E8" s="21" t="s">
        <v>266</v>
      </c>
      <c r="F8" s="21" t="s">
        <v>267</v>
      </c>
    </row>
    <row r="9" customFormat="false" ht="18" hidden="false" customHeight="true" outlineLevel="0" collapsed="false">
      <c r="A9" s="15" t="s">
        <v>3</v>
      </c>
      <c r="B9" s="15" t="s">
        <v>153</v>
      </c>
      <c r="C9" s="15" t="s">
        <v>47</v>
      </c>
      <c r="D9" s="15" t="s">
        <v>154</v>
      </c>
      <c r="E9" s="15" t="s">
        <v>268</v>
      </c>
      <c r="F9" s="15" t="s">
        <v>269</v>
      </c>
    </row>
    <row r="10" customFormat="false" ht="18" hidden="false" customHeight="true" outlineLevel="0" collapsed="false">
      <c r="A10" s="21" t="s">
        <v>3</v>
      </c>
      <c r="B10" s="21" t="s">
        <v>153</v>
      </c>
      <c r="C10" s="21" t="s">
        <v>135</v>
      </c>
      <c r="D10" s="21" t="s">
        <v>156</v>
      </c>
      <c r="E10" s="21" t="s">
        <v>270</v>
      </c>
      <c r="F10" s="21" t="s">
        <v>271</v>
      </c>
    </row>
    <row r="11" customFormat="false" ht="18" hidden="false" customHeight="true" outlineLevel="0" collapsed="false">
      <c r="A11" s="15" t="s">
        <v>3</v>
      </c>
      <c r="B11" s="15" t="s">
        <v>158</v>
      </c>
      <c r="C11" s="15" t="s">
        <v>42</v>
      </c>
      <c r="D11" s="15" t="s">
        <v>159</v>
      </c>
      <c r="E11" s="15" t="s">
        <v>270</v>
      </c>
      <c r="F11" s="15" t="s">
        <v>272</v>
      </c>
    </row>
    <row r="12" customFormat="false" ht="18" hidden="false" customHeight="true" outlineLevel="0" collapsed="false">
      <c r="A12" s="21" t="s">
        <v>4</v>
      </c>
      <c r="B12" s="21" t="s">
        <v>161</v>
      </c>
      <c r="C12" s="21" t="s">
        <v>42</v>
      </c>
      <c r="D12" s="21" t="s">
        <v>254</v>
      </c>
      <c r="E12" s="21"/>
      <c r="F12" s="21" t="s">
        <v>263</v>
      </c>
    </row>
    <row r="13" customFormat="false" ht="18" hidden="false" customHeight="true" outlineLevel="0" collapsed="false">
      <c r="A13" s="15" t="s">
        <v>3</v>
      </c>
      <c r="B13" s="15" t="s">
        <v>164</v>
      </c>
      <c r="C13" s="15" t="s">
        <v>42</v>
      </c>
      <c r="D13" s="15" t="s">
        <v>165</v>
      </c>
      <c r="E13" s="15" t="s">
        <v>273</v>
      </c>
      <c r="F13" s="15" t="s">
        <v>274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2026-04-03T03:01:14Z</dcterms:created>
  <dc:creator>openpyxl</dc:creator>
  <dc:description/>
  <dc:language>en-US</dc:language>
  <cp:lastModifiedBy/>
  <dcterms:modified xsi:type="dcterms:W3CDTF">2026-04-03T03:01:14Z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