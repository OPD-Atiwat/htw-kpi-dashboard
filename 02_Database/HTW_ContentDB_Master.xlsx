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_DB" sheetId="1" state="visible" r:id="rId3"/>
    <sheet name="Ads_Performance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<sst xmlns="http://schemas.openxmlformats.org/spreadsheetml/2006/main" count="206" uniqueCount="161">
  <si>
    <t xml:space="preserve">รหัส Content</t>
  </si>
  <si>
    <t xml:space="preserve">วันที่วางแผน</t>
  </si>
  <si>
    <t xml:space="preserve">ผู้สร้าง (Creator)</t>
  </si>
  <si>
    <t xml:space="preserve">รูปแบบ</t>
  </si>
  <si>
    <t xml:space="preserve">วัตถุประสงค์</t>
  </si>
  <si>
    <t xml:space="preserve">หนังสือ / Product</t>
  </si>
  <si>
    <t xml:space="preserve">มีปก? (is_cover)</t>
  </si>
  <si>
    <t xml:space="preserve">Key Message</t>
  </si>
  <si>
    <t xml:space="preserve">ประเภท Message</t>
  </si>
  <si>
    <t xml:space="preserve">Brief / Idea</t>
  </si>
  <si>
    <t xml:space="preserve">สถานะ</t>
  </si>
  <si>
    <t xml:space="preserve">วันที่ Publish จริง</t>
  </si>
  <si>
    <t xml:space="preserve">Link FB Post</t>
  </si>
  <si>
    <t xml:space="preserve">Ads FB Name
(ต้องตรงกับ Ads Manager)</t>
  </si>
  <si>
    <t xml:space="preserve">FB Post ID</t>
  </si>
  <si>
    <t xml:space="preserve">Link TikTok</t>
  </si>
  <si>
    <t xml:space="preserve">TikTok VDO ID</t>
  </si>
  <si>
    <t xml:space="preserve">Target ROAS
(เกณฑ์)</t>
  </si>
  <si>
    <t xml:space="preserve">ROAS
(หลัง 7 วัน)</t>
  </si>
  <si>
    <t xml:space="preserve">วันเช็ค ROAS</t>
  </si>
  <si>
    <t xml:space="preserve">ผ่านเกณฑ์?</t>
  </si>
  <si>
    <t xml:space="preserve">New Message?</t>
  </si>
  <si>
    <t xml:space="preserve">หมายเหตุ</t>
  </si>
  <si>
    <t xml:space="preserve">content_id</t>
  </si>
  <si>
    <t xml:space="preserve">date_planned</t>
  </si>
  <si>
    <t xml:space="preserve">creator</t>
  </si>
  <si>
    <t xml:space="preserve">content_format</t>
  </si>
  <si>
    <t xml:space="preserve">content_objective</t>
  </si>
  <si>
    <t xml:space="preserve">product</t>
  </si>
  <si>
    <t xml:space="preserve">is_cover</t>
  </si>
  <si>
    <t xml:space="preserve">key_message</t>
  </si>
  <si>
    <t xml:space="preserve">message_type</t>
  </si>
  <si>
    <t xml:space="preserve">idea_brief</t>
  </si>
  <si>
    <t xml:space="preserve">status</t>
  </si>
  <si>
    <t xml:space="preserve">published_date</t>
  </si>
  <si>
    <t xml:space="preserve">fb_post_link</t>
  </si>
  <si>
    <t xml:space="preserve">fb_ad_name</t>
  </si>
  <si>
    <t xml:space="preserve">fb_post_id</t>
  </si>
  <si>
    <t xml:space="preserve">tiktok_post_link</t>
  </si>
  <si>
    <t xml:space="preserve">tiktok_vdo_id</t>
  </si>
  <si>
    <t xml:space="preserve">target_roas</t>
  </si>
  <si>
    <t xml:space="preserve">roas_7d</t>
  </si>
  <si>
    <t xml:space="preserve">roas_check_date</t>
  </si>
  <si>
    <t xml:space="preserve">hit_roas_target</t>
  </si>
  <si>
    <t xml:space="preserve">is_new_message</t>
  </si>
  <si>
    <t xml:space="preserve">notes</t>
  </si>
  <si>
    <t xml:space="preserve">HTW-APR26-001</t>
  </si>
  <si>
    <t xml:space="preserve">2026-04-01</t>
  </si>
  <si>
    <t xml:space="preserve">ริว</t>
  </si>
  <si>
    <t xml:space="preserve">VDO</t>
  </si>
  <si>
    <t xml:space="preserve">Sale</t>
  </si>
  <si>
    <t xml:space="preserve">Ghostly Brews</t>
  </si>
  <si>
    <t xml:space="preserve">No</t>
  </si>
  <si>
    <t xml:space="preserve">Chronic Loneliness ภาวะเหงาเรื้อรังที่รู้สึกโดดเดี่ยวอ้างว้างตลอดเวลา</t>
  </si>
  <si>
    <t xml:space="preserve">New</t>
  </si>
  <si>
    <t xml:space="preserve">ให้ความรู้เรื่องความเหงาเรื้อรัง Chronic Loneliness ไม่ได้อยู่คนเดียว แต่รู้สึกโดดเดี่ยว</t>
  </si>
  <si>
    <t xml:space="preserve">Published</t>
  </si>
  <si>
    <t xml:space="preserve">HTW-APR26-001_FB_GhostlyBrews_CL</t>
  </si>
  <si>
    <t xml:space="preserve">https://vt.tiktok.com/ZSuokYQVT/</t>
  </si>
  <si>
    <t xml:space="preserve">TRUE</t>
  </si>
  <si>
    <t xml:space="preserve">HTW-APR26-002</t>
  </si>
  <si>
    <t xml:space="preserve">มิ้น</t>
  </si>
  <si>
    <t xml:space="preserve">Ghostly Remains</t>
  </si>
  <si>
    <t xml:space="preserve">กฎ Thank you next อย่าปล่อยให้เรื่องในอดีตกลับมาทำร้ายซ้ำๆ</t>
  </si>
  <si>
    <t xml:space="preserve">อธิบายเรื่องกฎ Thank you next หยิบการ์ด พร้อมเปิดหนังสือ</t>
  </si>
  <si>
    <t xml:space="preserve">https://vt.tiktok.com/ZSuvdae4w/</t>
  </si>
  <si>
    <t xml:space="preserve">HTW-APR26-003</t>
  </si>
  <si>
    <t xml:space="preserve">Live</t>
  </si>
  <si>
    <t xml:space="preserve">All Product</t>
  </si>
  <si>
    <t xml:space="preserve">Promote Tiktok Live : วันที่ 2 Apr | Theme : 4.4</t>
  </si>
  <si>
    <t xml:space="preserve">Evergreen</t>
  </si>
  <si>
    <t xml:space="preserve">โปรโมท Live ช่อง TikTok สงกรานต์ 4.4</t>
  </si>
  <si>
    <t xml:space="preserve">https://www.facebook.com/reel/1301492295192376</t>
  </si>
  <si>
    <t xml:space="preserve">HTW-APR26-003_FB_Live_44</t>
  </si>
  <si>
    <t xml:space="preserve">FALSE</t>
  </si>
  <si>
    <t xml:space="preserve">HTW-APR26-004</t>
  </si>
  <si>
    <t xml:space="preserve">หมิว</t>
  </si>
  <si>
    <t xml:space="preserve">IMG</t>
  </si>
  <si>
    <t xml:space="preserve">กับดักความรู้สึกผิด</t>
  </si>
  <si>
    <t xml:space="preserve">Shopee 4.4 : กับดัก ลดพิเศษ 30%</t>
  </si>
  <si>
    <t xml:space="preserve">Revised</t>
  </si>
  <si>
    <t xml:space="preserve">เปลี่ยนธีม ปรับสีใหม่จากสีส้ม</t>
  </si>
  <si>
    <t xml:space="preserve">Review</t>
  </si>
  <si>
    <t xml:space="preserve">รอ Publish 3 Apr</t>
  </si>
  <si>
    <t xml:space="preserve">HTW-APR26-005</t>
  </si>
  <si>
    <t xml:space="preserve">2026-04-02</t>
  </si>
  <si>
    <t xml:space="preserve">โรคซึมเศร้า</t>
  </si>
  <si>
    <t xml:space="preserve">AI ทำเป็นแอนิเมชั่นแทนคลิปตัวเดิม</t>
  </si>
  <si>
    <t xml:space="preserve">Draft</t>
  </si>
  <si>
    <t xml:space="preserve">วันที่</t>
  </si>
  <si>
    <t xml:space="preserve">Platform</t>
  </si>
  <si>
    <t xml:space="preserve">Ad Name
(= fb_ad_name ใน Content_DB)</t>
  </si>
  <si>
    <t xml:space="preserve">Campaign Name</t>
  </si>
  <si>
    <t xml:space="preserve">Reach</t>
  </si>
  <si>
    <t xml:space="preserve">Impressions</t>
  </si>
  <si>
    <t xml:space="preserve">ยอดใช้จ่าย
(THB)</t>
  </si>
  <si>
    <t xml:space="preserve">Clicks</t>
  </si>
  <si>
    <t xml:space="preserve">CTR (%)</t>
  </si>
  <si>
    <t xml:space="preserve">CPM (THB)</t>
  </si>
  <si>
    <t xml:space="preserve">Conversions</t>
  </si>
  <si>
    <t xml:space="preserve">CPA (THB)</t>
  </si>
  <si>
    <t xml:space="preserve">Revenue (THB)</t>
  </si>
  <si>
    <t xml:space="preserve">ROAS</t>
  </si>
  <si>
    <t xml:space="preserve">date</t>
  </si>
  <si>
    <t xml:space="preserve">platform</t>
  </si>
  <si>
    <t xml:space="preserve">ad_name</t>
  </si>
  <si>
    <t xml:space="preserve">campaign_name</t>
  </si>
  <si>
    <t xml:space="preserve">reach</t>
  </si>
  <si>
    <t xml:space="preserve">impressions</t>
  </si>
  <si>
    <t xml:space="preserve">spend_thb</t>
  </si>
  <si>
    <t xml:space="preserve">clicks</t>
  </si>
  <si>
    <t xml:space="preserve">ctr</t>
  </si>
  <si>
    <t xml:space="preserve">cpm</t>
  </si>
  <si>
    <t xml:space="preserve">conversions</t>
  </si>
  <si>
    <t xml:space="preserve">cpa</t>
  </si>
  <si>
    <t xml:space="preserve">revenue</t>
  </si>
  <si>
    <t xml:space="preserve">roas</t>
  </si>
  <si>
    <t xml:space="preserve">⚠️ ข้อมูลในแถวนี้จะถูก Auto-fill โดย Apps Script ทุกเช้า (Meta + TikTok API) — ห้ามแก้ไขด้วยมือ</t>
  </si>
  <si>
    <t xml:space="preserve">Meta</t>
  </si>
  <si>
    <t xml:space="preserve">HTW-Apr-2026</t>
  </si>
  <si>
    <t xml:space="preserve">TikTok</t>
  </si>
  <si>
    <t xml:space="preserve">HTW-APR26-001_TT_GhostlyBrews</t>
  </si>
  <si>
    <t xml:space="preserve">⚙️ Config — KPI Thresholds &amp; API Settings</t>
  </si>
  <si>
    <t xml:space="preserve">📌 เกณฑ์ KPI (แก้ไขได้)</t>
  </si>
  <si>
    <t xml:space="preserve">Target ROAS ขั้นต่ำ</t>
  </si>
  <si>
    <t xml:space="preserve">ROAS หลัง 7 วัน ต้องมากกว่าค่านี้</t>
  </si>
  <si>
    <t xml:space="preserve">Target CPA สูงสุด (THB)</t>
  </si>
  <si>
    <t xml:space="preserve">ต้นทุนต่อ Conversion ไม่ควรเกิน</t>
  </si>
  <si>
    <t xml:space="preserve">Target CTR ขั้นต่ำ (%)</t>
  </si>
  <si>
    <t xml:space="preserve">Click-Through Rate ขั้นต่ำ (%)</t>
  </si>
  <si>
    <t xml:space="preserve">Target CPM สูงสุด (THB)</t>
  </si>
  <si>
    <t xml:space="preserve">Cost per 1,000 Impressions ไม่ควรเกิน</t>
  </si>
  <si>
    <t xml:space="preserve">📌 รายชื่อ Creator</t>
  </si>
  <si>
    <t xml:space="preserve">Creator 1</t>
  </si>
  <si>
    <t xml:space="preserve">Creator 2</t>
  </si>
  <si>
    <t xml:space="preserve">Creator 3</t>
  </si>
  <si>
    <t xml:space="preserve">📌 Products / หนังสือ</t>
  </si>
  <si>
    <t xml:space="preserve">Product 1</t>
  </si>
  <si>
    <t xml:space="preserve">Product 2</t>
  </si>
  <si>
    <t xml:space="preserve">Product 3</t>
  </si>
  <si>
    <t xml:space="preserve">The Witches' Club</t>
  </si>
  <si>
    <t xml:space="preserve">Product 4</t>
  </si>
  <si>
    <t xml:space="preserve">Product 5</t>
  </si>
  <si>
    <t xml:space="preserve">ปีศาจตัวนั้น คือฉันเอง</t>
  </si>
  <si>
    <t xml:space="preserve">Product 6</t>
  </si>
  <si>
    <t xml:space="preserve">📌 Meta Ads API Credentials</t>
  </si>
  <si>
    <t xml:space="preserve">App ID</t>
  </si>
  <si>
    <t xml:space="preserve">[ใส่ App ID ตรงนี้]</t>
  </si>
  <si>
    <t xml:space="preserve">จาก Meta for Developers</t>
  </si>
  <si>
    <t xml:space="preserve">App Secret</t>
  </si>
  <si>
    <t xml:space="preserve">[ใส่ App Secret]</t>
  </si>
  <si>
    <t xml:space="preserve">⚠️ ห้าม Share ไฟล์นี้เป็น Public</t>
  </si>
  <si>
    <t xml:space="preserve">User Access Token</t>
  </si>
  <si>
    <t xml:space="preserve">[ใส่ Access Token]</t>
  </si>
  <si>
    <t xml:space="preserve">Ad Account ID</t>
  </si>
  <si>
    <t xml:space="preserve">act_XXXXXXXXXX</t>
  </si>
  <si>
    <t xml:space="preserve">📌 TikTok Ads API Credentials</t>
  </si>
  <si>
    <t xml:space="preserve">จาก TikTok for Business</t>
  </si>
  <si>
    <t xml:space="preserve">Access Token</t>
  </si>
  <si>
    <t xml:space="preserve">Advertiser ID</t>
  </si>
  <si>
    <t xml:space="preserve">[ใส่ Advertiser ID]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</si>
</sst>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.00%"/>
    <numFmt numFmtId="167" formatCode="#,##0.00"/>
    <numFmt numFmtId="168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i val="true"/>
      <sz val="7.5"/>
      <color rgb="FF9E9E9E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80"/>
      <name val="Arial"/>
      <family val="0"/>
      <charset val="1"/>
    </font>
    <font>
      <b val="true"/>
      <i val="true"/>
      <sz val="9"/>
      <color rgb="FFB71C1C"/>
      <name val="Arial"/>
      <family val="0"/>
      <charset val="1"/>
    </font>
    <font>
      <b val="true"/>
      <sz val="13"/>
      <color rgb="FF2D1B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9E9E9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D1B69"/>
        <bgColor rgb="FF333333"/>
      </patternFill>
    </fill>
    <fill>
      <patternFill patternType="solid">
        <fgColor rgb="FFEEEEEE"/>
        <bgColor rgb="FFF3EEF8"/>
      </patternFill>
    </fill>
    <fill>
      <patternFill patternType="solid">
        <fgColor rgb="FFFFFFFF"/>
        <bgColor rgb="FFFFFDE7"/>
      </patternFill>
    </fill>
    <fill>
      <patternFill patternType="solid">
        <fgColor rgb="FFF3EEF8"/>
        <bgColor rgb="FFEEEEEE"/>
      </patternFill>
    </fill>
    <fill>
      <patternFill patternType="solid">
        <fgColor rgb="FF1B5E20"/>
        <bgColor rgb="FF333333"/>
      </patternFill>
    </fill>
    <fill>
      <patternFill patternType="solid">
        <fgColor rgb="FFDCEDC8"/>
        <bgColor rgb="FFEEEEEE"/>
      </patternFill>
    </fill>
    <fill>
      <patternFill patternType="solid">
        <fgColor rgb="FFFFEBEE"/>
        <bgColor rgb="FFF3EEF8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8"/>
      <rgbColor rgb="FFDCEDC8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B71C1C"/>
      <rgbColor rgb="FF993366"/>
      <rgbColor rgb="FF2D1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4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8"/>
    <col collapsed="false" customWidth="true" hidden="false" outlineLevel="0" max="14" min="14" style="0" width="30"/>
    <col collapsed="false" customWidth="true" hidden="false" outlineLevel="0" max="15" min="15" style="0" width="18"/>
    <col collapsed="false" customWidth="true" hidden="false" outlineLevel="0" max="16" min="16" style="0" width="38"/>
    <col collapsed="false" customWidth="true" hidden="false" outlineLevel="0" max="17" min="17" style="0" width="18"/>
    <col collapsed="false" customWidth="true" hidden="false" outlineLevel="0" max="19" min="18" style="0" width="13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2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tru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  <row r="3" customFormat="false" ht="18" hidden="false" customHeight="tru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4" t="s">
        <v>53</v>
      </c>
      <c r="I3" s="3" t="s">
        <v>54</v>
      </c>
      <c r="J3" s="4" t="s">
        <v>55</v>
      </c>
      <c r="K3" s="3" t="s">
        <v>56</v>
      </c>
      <c r="L3" s="3" t="s">
        <v>47</v>
      </c>
      <c r="M3" s="3"/>
      <c r="N3" s="3" t="s">
        <v>57</v>
      </c>
      <c r="O3" s="3"/>
      <c r="P3" s="3" t="s">
        <v>58</v>
      </c>
      <c r="Q3" s="3"/>
      <c r="R3" s="3" t="n">
        <v>2.5</v>
      </c>
      <c r="S3" s="3"/>
      <c r="T3" s="5" t="n">
        <f aca="false">IF(L3&lt;&gt;"",L3+7,"")</f>
        <v>46120</v>
      </c>
      <c r="U3" s="6" t="str">
        <f aca="false">IF(S3="","⏳ รอ",IF(S3&gt;=R3,"✅ ผ่าน","❌ ไม่ผ่าน"))</f>
        <v>⏳ รอ</v>
      </c>
      <c r="V3" s="3" t="s">
        <v>59</v>
      </c>
      <c r="W3" s="3"/>
    </row>
    <row r="4" customFormat="false" ht="18" hidden="false" customHeight="true" outlineLevel="0" collapsed="false">
      <c r="A4" s="7" t="s">
        <v>60</v>
      </c>
      <c r="B4" s="7" t="s">
        <v>47</v>
      </c>
      <c r="C4" s="7" t="s">
        <v>61</v>
      </c>
      <c r="D4" s="7" t="s">
        <v>49</v>
      </c>
      <c r="E4" s="7" t="s">
        <v>50</v>
      </c>
      <c r="F4" s="7" t="s">
        <v>62</v>
      </c>
      <c r="G4" s="7" t="s">
        <v>52</v>
      </c>
      <c r="H4" s="8" t="s">
        <v>63</v>
      </c>
      <c r="I4" s="7" t="s">
        <v>54</v>
      </c>
      <c r="J4" s="8" t="s">
        <v>64</v>
      </c>
      <c r="K4" s="7" t="s">
        <v>56</v>
      </c>
      <c r="L4" s="7" t="s">
        <v>47</v>
      </c>
      <c r="M4" s="7"/>
      <c r="N4" s="7"/>
      <c r="O4" s="7"/>
      <c r="P4" s="7" t="s">
        <v>65</v>
      </c>
      <c r="Q4" s="7"/>
      <c r="R4" s="7" t="n">
        <v>2.5</v>
      </c>
      <c r="S4" s="7"/>
      <c r="T4" s="9" t="n">
        <f aca="false">IF(L4&lt;&gt;"",L4+7,"")</f>
        <v>46120</v>
      </c>
      <c r="U4" s="10" t="str">
        <f aca="false">IF(S4="","⏳ รอ",IF(S4&gt;=R4,"✅ ผ่าน","❌ ไม่ผ่าน"))</f>
        <v>⏳ รอ</v>
      </c>
      <c r="V4" s="7" t="s">
        <v>59</v>
      </c>
      <c r="W4" s="7"/>
    </row>
    <row r="5" customFormat="false" ht="18" hidden="false" customHeight="true" outlineLevel="0" collapsed="false">
      <c r="A5" s="3" t="s">
        <v>66</v>
      </c>
      <c r="B5" s="3" t="s">
        <v>47</v>
      </c>
      <c r="C5" s="3" t="s">
        <v>61</v>
      </c>
      <c r="D5" s="3" t="s">
        <v>49</v>
      </c>
      <c r="E5" s="3" t="s">
        <v>67</v>
      </c>
      <c r="F5" s="3" t="s">
        <v>68</v>
      </c>
      <c r="G5" s="3" t="s">
        <v>52</v>
      </c>
      <c r="H5" s="4" t="s">
        <v>69</v>
      </c>
      <c r="I5" s="3" t="s">
        <v>70</v>
      </c>
      <c r="J5" s="4" t="s">
        <v>71</v>
      </c>
      <c r="K5" s="3" t="s">
        <v>56</v>
      </c>
      <c r="L5" s="3" t="s">
        <v>47</v>
      </c>
      <c r="M5" s="3" t="s">
        <v>72</v>
      </c>
      <c r="N5" s="3" t="s">
        <v>73</v>
      </c>
      <c r="O5" s="3"/>
      <c r="P5" s="3"/>
      <c r="Q5" s="3"/>
      <c r="R5" s="3" t="n">
        <v>2.5</v>
      </c>
      <c r="S5" s="3"/>
      <c r="T5" s="5" t="n">
        <f aca="false">IF(L5&lt;&gt;"",L5+7,"")</f>
        <v>46120</v>
      </c>
      <c r="U5" s="6" t="str">
        <f aca="false">IF(S5="","⏳ รอ",IF(S5&gt;=R5,"✅ ผ่าน","❌ ไม่ผ่าน"))</f>
        <v>⏳ รอ</v>
      </c>
      <c r="V5" s="3" t="s">
        <v>74</v>
      </c>
      <c r="W5" s="3"/>
    </row>
    <row r="6" customFormat="false" ht="18" hidden="false" customHeight="true" outlineLevel="0" collapsed="false">
      <c r="A6" s="7" t="s">
        <v>75</v>
      </c>
      <c r="B6" s="7" t="s">
        <v>47</v>
      </c>
      <c r="C6" s="7" t="s">
        <v>76</v>
      </c>
      <c r="D6" s="7" t="s">
        <v>77</v>
      </c>
      <c r="E6" s="7" t="s">
        <v>50</v>
      </c>
      <c r="F6" s="7" t="s">
        <v>78</v>
      </c>
      <c r="G6" s="7" t="s">
        <v>52</v>
      </c>
      <c r="H6" s="8" t="s">
        <v>79</v>
      </c>
      <c r="I6" s="7" t="s">
        <v>80</v>
      </c>
      <c r="J6" s="8" t="s">
        <v>81</v>
      </c>
      <c r="K6" s="7" t="s">
        <v>82</v>
      </c>
      <c r="L6" s="7"/>
      <c r="M6" s="7"/>
      <c r="N6" s="7"/>
      <c r="O6" s="7"/>
      <c r="P6" s="7"/>
      <c r="Q6" s="7"/>
      <c r="R6" s="7" t="n">
        <v>2.5</v>
      </c>
      <c r="S6" s="7"/>
      <c r="T6" s="9" t="str">
        <f aca="false">IF(L6&lt;&gt;"",L6+7,"")</f>
        <v/>
      </c>
      <c r="U6" s="10" t="str">
        <f aca="false">IF(S6="","⏳ รอ",IF(S6&gt;=R6,"✅ ผ่าน","❌ ไม่ผ่าน"))</f>
        <v>⏳ รอ</v>
      </c>
      <c r="V6" s="7" t="s">
        <v>74</v>
      </c>
      <c r="W6" s="7" t="s">
        <v>83</v>
      </c>
    </row>
    <row r="7" customFormat="false" ht="18" hidden="false" customHeight="true" outlineLevel="0" collapsed="false">
      <c r="A7" s="3" t="s">
        <v>84</v>
      </c>
      <c r="B7" s="3" t="s">
        <v>85</v>
      </c>
      <c r="C7" s="3" t="s">
        <v>48</v>
      </c>
      <c r="D7" s="3" t="s">
        <v>49</v>
      </c>
      <c r="E7" s="3" t="s">
        <v>50</v>
      </c>
      <c r="F7" s="3" t="s">
        <v>78</v>
      </c>
      <c r="G7" s="3" t="s">
        <v>52</v>
      </c>
      <c r="H7" s="4" t="s">
        <v>86</v>
      </c>
      <c r="I7" s="3" t="s">
        <v>54</v>
      </c>
      <c r="J7" s="4" t="s">
        <v>87</v>
      </c>
      <c r="K7" s="3" t="s">
        <v>88</v>
      </c>
      <c r="L7" s="3"/>
      <c r="M7" s="3"/>
      <c r="N7" s="3"/>
      <c r="O7" s="3"/>
      <c r="P7" s="3"/>
      <c r="Q7" s="3"/>
      <c r="R7" s="3" t="n">
        <v>2.5</v>
      </c>
      <c r="S7" s="3"/>
      <c r="T7" s="5" t="str">
        <f aca="false">IF(L7&lt;&gt;"",L7+7,"")</f>
        <v/>
      </c>
      <c r="U7" s="6" t="str">
        <f aca="false">IF(S7="","⏳ รอ",IF(S7&gt;=R7,"✅ ผ่าน","❌ ไม่ผ่าน"))</f>
        <v>⏳ รอ</v>
      </c>
      <c r="V7" s="3" t="s">
        <v>74</v>
      </c>
      <c r="W7" s="3"/>
    </row>
  </sheetData>
  <dataValidations count="7">
    <dataValidation allowBlank="true" errorStyle="stop" operator="between" showDropDown="false" showErrorMessage="false" showInputMessage="false" sqref="C3:C1007" type="list">
      <formula1>"ริว,มิ้น,หมิว"</formula1>
      <formula2>0</formula2>
    </dataValidation>
    <dataValidation allowBlank="true" errorStyle="stop" operator="between" showDropDown="false" showErrorMessage="false" showInputMessage="false" sqref="D3:D1007" type="list">
      <formula1>"VDO,IMG,Carousel"</formula1>
      <formula2>0</formula2>
    </dataValidation>
    <dataValidation allowBlank="true" errorStyle="stop" operator="between" showDropDown="false" showErrorMessage="false" showInputMessage="false" sqref="E3:E1007" type="list">
      <formula1>"Sale,Engage,Live,Promotion,Book Fair"</formula1>
      <formula2>0</formula2>
    </dataValidation>
    <dataValidation allowBlank="true" errorStyle="stop" operator="between" showDropDown="false" showErrorMessage="false" showInputMessage="false" sqref="G3:G1007" type="list">
      <formula1>"Yes,No"</formula1>
      <formula2>0</formula2>
    </dataValidation>
    <dataValidation allowBlank="true" errorStyle="stop" operator="between" showDropDown="false" showErrorMessage="false" showInputMessage="false" sqref="I3:I1007" type="list">
      <formula1>"New,Revised,Evergreen"</formula1>
      <formula2>0</formula2>
    </dataValidation>
    <dataValidation allowBlank="true" errorStyle="stop" operator="between" showDropDown="false" showErrorMessage="false" showInputMessage="false" sqref="K3:K1007" type="list">
      <formula1>"Draft,Review,Done,Published"</formula1>
      <formula2>0</formula2>
    </dataValidation>
    <dataValidation allowBlank="true" errorStyle="stop" operator="between" showDropDown="false" showErrorMessage="false" showInputMessage="false" sqref="V3:V1007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39.75" hidden="false" customHeight="true" outlineLevel="0" collapsed="false">
      <c r="A1" s="11" t="s">
        <v>89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94</v>
      </c>
      <c r="G1" s="11" t="s">
        <v>95</v>
      </c>
      <c r="H1" s="11" t="s">
        <v>96</v>
      </c>
      <c r="I1" s="11" t="s">
        <v>97</v>
      </c>
      <c r="J1" s="11" t="s">
        <v>98</v>
      </c>
      <c r="K1" s="11" t="s">
        <v>99</v>
      </c>
      <c r="L1" s="11" t="s">
        <v>100</v>
      </c>
      <c r="M1" s="11" t="s">
        <v>101</v>
      </c>
      <c r="N1" s="11" t="s">
        <v>102</v>
      </c>
    </row>
    <row r="2" customFormat="false" ht="15" hidden="false" customHeight="true" outlineLevel="0" collapsed="false">
      <c r="A2" s="12" t="s">
        <v>103</v>
      </c>
      <c r="B2" s="12" t="s">
        <v>104</v>
      </c>
      <c r="C2" s="12" t="s">
        <v>105</v>
      </c>
      <c r="D2" s="12" t="s">
        <v>106</v>
      </c>
      <c r="E2" s="12" t="s">
        <v>107</v>
      </c>
      <c r="F2" s="12" t="s">
        <v>108</v>
      </c>
      <c r="G2" s="12" t="s">
        <v>109</v>
      </c>
      <c r="H2" s="12" t="s">
        <v>110</v>
      </c>
      <c r="I2" s="12" t="s">
        <v>111</v>
      </c>
      <c r="J2" s="12" t="s">
        <v>112</v>
      </c>
      <c r="K2" s="12" t="s">
        <v>113</v>
      </c>
      <c r="L2" s="12" t="s">
        <v>114</v>
      </c>
      <c r="M2" s="12" t="s">
        <v>115</v>
      </c>
      <c r="N2" s="12" t="s">
        <v>116</v>
      </c>
    </row>
    <row r="3" customFormat="false" ht="21.75" hidden="false" customHeight="true" outlineLevel="0" collapsed="false">
      <c r="A3" s="13" t="s">
        <v>117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customFormat="false" ht="18" hidden="false" customHeight="true" outlineLevel="0" collapsed="false">
      <c r="A4" s="7" t="s">
        <v>47</v>
      </c>
      <c r="B4" s="7" t="s">
        <v>118</v>
      </c>
      <c r="C4" s="7" t="s">
        <v>73</v>
      </c>
      <c r="D4" s="7" t="s">
        <v>119</v>
      </c>
      <c r="E4" s="14" t="n">
        <v>15420</v>
      </c>
      <c r="F4" s="14" t="n">
        <v>28900</v>
      </c>
      <c r="G4" s="14" t="n">
        <v>850</v>
      </c>
      <c r="H4" s="14" t="n">
        <v>420</v>
      </c>
      <c r="I4" s="15" t="n">
        <f aca="false">IF(F4&gt;0,H4/F4,0)</f>
        <v>0.0145328719723183</v>
      </c>
      <c r="J4" s="16" t="n">
        <f aca="false">IF(F4&gt;0,G4/F4*1000,0)</f>
        <v>29.4117647058824</v>
      </c>
      <c r="K4" s="14" t="n">
        <v>18</v>
      </c>
      <c r="L4" s="16" t="n">
        <f aca="false">IF(K4&gt;0,G4/K4,0)</f>
        <v>47.2222222222222</v>
      </c>
      <c r="M4" s="14" t="n">
        <v>4500</v>
      </c>
      <c r="N4" s="17" t="n">
        <f aca="false">IF(G4&gt;0,M4/G4,0)</f>
        <v>5.29411764705882</v>
      </c>
    </row>
    <row r="5" customFormat="false" ht="18" hidden="false" customHeight="true" outlineLevel="0" collapsed="false">
      <c r="A5" s="3" t="s">
        <v>47</v>
      </c>
      <c r="B5" s="3" t="s">
        <v>120</v>
      </c>
      <c r="C5" s="3" t="s">
        <v>121</v>
      </c>
      <c r="D5" s="3" t="s">
        <v>119</v>
      </c>
      <c r="E5" s="18" t="n">
        <v>9200</v>
      </c>
      <c r="F5" s="18" t="n">
        <v>18500</v>
      </c>
      <c r="G5" s="18" t="n">
        <v>320</v>
      </c>
      <c r="H5" s="18" t="n">
        <v>185</v>
      </c>
      <c r="I5" s="19" t="n">
        <f aca="false">IF(F5&gt;0,H5/F5,0)</f>
        <v>0.01</v>
      </c>
      <c r="J5" s="20" t="n">
        <f aca="false">IF(F5&gt;0,G5/F5*1000,0)</f>
        <v>17.2972972972973</v>
      </c>
      <c r="K5" s="18" t="n">
        <v>8</v>
      </c>
      <c r="L5" s="20" t="n">
        <f aca="false">IF(K5&gt;0,G5/K5,0)</f>
        <v>40</v>
      </c>
      <c r="M5" s="18" t="n">
        <v>1800</v>
      </c>
      <c r="N5" s="21" t="n">
        <f aca="false">IF(G5&gt;0,M5/G5,0)</f>
        <v>5.625</v>
      </c>
    </row>
    <row r="6" customFormat="false" ht="18" hidden="false" customHeight="true" outlineLevel="0" collapsed="false">
      <c r="A6" s="7" t="s">
        <v>85</v>
      </c>
      <c r="B6" s="7" t="s">
        <v>118</v>
      </c>
      <c r="C6" s="7" t="s">
        <v>73</v>
      </c>
      <c r="D6" s="7" t="s">
        <v>119</v>
      </c>
      <c r="E6" s="14" t="n">
        <v>12800</v>
      </c>
      <c r="F6" s="14" t="n">
        <v>24100</v>
      </c>
      <c r="G6" s="14" t="n">
        <v>720</v>
      </c>
      <c r="H6" s="14" t="n">
        <v>380</v>
      </c>
      <c r="I6" s="15" t="n">
        <f aca="false">IF(F6&gt;0,H6/F6,0)</f>
        <v>0.0157676348547718</v>
      </c>
      <c r="J6" s="16" t="n">
        <f aca="false">IF(F6&gt;0,G6/F6*1000,0)</f>
        <v>29.8755186721992</v>
      </c>
      <c r="K6" s="14" t="n">
        <v>15</v>
      </c>
      <c r="L6" s="16" t="n">
        <f aca="false">IF(K6&gt;0,G6/K6,0)</f>
        <v>48</v>
      </c>
      <c r="M6" s="14" t="n">
        <v>3800</v>
      </c>
      <c r="N6" s="17" t="n">
        <f aca="false">IF(G6&gt;0,M6/G6,0)</f>
        <v>5.27777777777778</v>
      </c>
    </row>
  </sheetData>
  <mergeCells count="1"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22" t="s">
        <v>122</v>
      </c>
    </row>
    <row r="3" customFormat="false" ht="25.5" hidden="false" customHeight="true" outlineLevel="0" collapsed="false">
      <c r="A3" s="23" t="s">
        <v>123</v>
      </c>
      <c r="B3" s="23"/>
      <c r="C3" s="23"/>
    </row>
    <row r="4" customFormat="false" ht="21.75" hidden="false" customHeight="true" outlineLevel="0" collapsed="false">
      <c r="A4" s="24" t="s">
        <v>124</v>
      </c>
      <c r="B4" s="25" t="n">
        <v>2.5</v>
      </c>
      <c r="C4" s="26" t="s">
        <v>125</v>
      </c>
    </row>
    <row r="5" customFormat="false" ht="21.75" hidden="false" customHeight="true" outlineLevel="0" collapsed="false">
      <c r="A5" s="24" t="s">
        <v>126</v>
      </c>
      <c r="B5" s="25" t="n">
        <v>150</v>
      </c>
      <c r="C5" s="26" t="s">
        <v>127</v>
      </c>
    </row>
    <row r="6" customFormat="false" ht="21.75" hidden="false" customHeight="true" outlineLevel="0" collapsed="false">
      <c r="A6" s="24" t="s">
        <v>128</v>
      </c>
      <c r="B6" s="25" t="n">
        <v>1.5</v>
      </c>
      <c r="C6" s="26" t="s">
        <v>129</v>
      </c>
    </row>
    <row r="7" customFormat="false" ht="21.75" hidden="false" customHeight="true" outlineLevel="0" collapsed="false">
      <c r="A7" s="24" t="s">
        <v>130</v>
      </c>
      <c r="B7" s="25" t="n">
        <v>80</v>
      </c>
      <c r="C7" s="26" t="s">
        <v>131</v>
      </c>
    </row>
    <row r="8" customFormat="false" ht="21.75" hidden="false" customHeight="true" outlineLevel="0" collapsed="false"/>
    <row r="9" customFormat="false" ht="25.5" hidden="false" customHeight="true" outlineLevel="0" collapsed="false">
      <c r="A9" s="23" t="s">
        <v>132</v>
      </c>
      <c r="B9" s="23"/>
      <c r="C9" s="23"/>
    </row>
    <row r="10" customFormat="false" ht="21.75" hidden="false" customHeight="true" outlineLevel="0" collapsed="false">
      <c r="A10" s="24" t="s">
        <v>133</v>
      </c>
      <c r="B10" s="25" t="s">
        <v>48</v>
      </c>
      <c r="C10" s="26"/>
    </row>
    <row r="11" customFormat="false" ht="21.75" hidden="false" customHeight="true" outlineLevel="0" collapsed="false">
      <c r="A11" s="24" t="s">
        <v>134</v>
      </c>
      <c r="B11" s="25" t="s">
        <v>61</v>
      </c>
      <c r="C11" s="26"/>
    </row>
    <row r="12" customFormat="false" ht="21.75" hidden="false" customHeight="true" outlineLevel="0" collapsed="false">
      <c r="A12" s="24" t="s">
        <v>135</v>
      </c>
      <c r="B12" s="25" t="s">
        <v>76</v>
      </c>
      <c r="C12" s="26"/>
    </row>
    <row r="13" customFormat="false" ht="21.75" hidden="false" customHeight="true" outlineLevel="0" collapsed="false"/>
    <row r="14" customFormat="false" ht="25.5" hidden="false" customHeight="true" outlineLevel="0" collapsed="false">
      <c r="A14" s="23" t="s">
        <v>136</v>
      </c>
      <c r="B14" s="23"/>
      <c r="C14" s="23"/>
    </row>
    <row r="15" customFormat="false" ht="21.75" hidden="false" customHeight="true" outlineLevel="0" collapsed="false">
      <c r="A15" s="24" t="s">
        <v>137</v>
      </c>
      <c r="B15" s="25" t="s">
        <v>51</v>
      </c>
      <c r="C15" s="26"/>
    </row>
    <row r="16" customFormat="false" ht="21.75" hidden="false" customHeight="true" outlineLevel="0" collapsed="false">
      <c r="A16" s="24" t="s">
        <v>138</v>
      </c>
      <c r="B16" s="25" t="s">
        <v>62</v>
      </c>
      <c r="C16" s="26"/>
    </row>
    <row r="17" customFormat="false" ht="21.75" hidden="false" customHeight="true" outlineLevel="0" collapsed="false">
      <c r="A17" s="24" t="s">
        <v>139</v>
      </c>
      <c r="B17" s="25" t="s">
        <v>140</v>
      </c>
      <c r="C17" s="26"/>
    </row>
    <row r="18" customFormat="false" ht="21.75" hidden="false" customHeight="true" outlineLevel="0" collapsed="false">
      <c r="A18" s="24" t="s">
        <v>141</v>
      </c>
      <c r="B18" s="25" t="s">
        <v>78</v>
      </c>
      <c r="C18" s="26"/>
    </row>
    <row r="19" customFormat="false" ht="21.75" hidden="false" customHeight="true" outlineLevel="0" collapsed="false">
      <c r="A19" s="24" t="s">
        <v>142</v>
      </c>
      <c r="B19" s="25" t="s">
        <v>143</v>
      </c>
      <c r="C19" s="26"/>
    </row>
    <row r="20" customFormat="false" ht="21.75" hidden="false" customHeight="true" outlineLevel="0" collapsed="false">
      <c r="A20" s="24" t="s">
        <v>144</v>
      </c>
      <c r="B20" s="25" t="s">
        <v>68</v>
      </c>
      <c r="C20" s="26"/>
    </row>
    <row r="21" customFormat="false" ht="21.75" hidden="false" customHeight="true" outlineLevel="0" collapsed="false"/>
    <row r="22" customFormat="false" ht="25.5" hidden="false" customHeight="true" outlineLevel="0" collapsed="false">
      <c r="A22" s="23" t="s">
        <v>145</v>
      </c>
      <c r="B22" s="23"/>
      <c r="C22" s="23"/>
    </row>
    <row r="23" customFormat="false" ht="21.75" hidden="false" customHeight="true" outlineLevel="0" collapsed="false">
      <c r="A23" s="24" t="s">
        <v>146</v>
      </c>
      <c r="B23" s="25" t="s">
        <v>147</v>
      </c>
      <c r="C23" s="26" t="s">
        <v>148</v>
      </c>
    </row>
    <row r="24" customFormat="false" ht="21.75" hidden="false" customHeight="true" outlineLevel="0" collapsed="false">
      <c r="A24" s="24" t="s">
        <v>149</v>
      </c>
      <c r="B24" s="25" t="s">
        <v>150</v>
      </c>
      <c r="C24" s="26" t="s">
        <v>151</v>
      </c>
    </row>
    <row r="25" customFormat="false" ht="21.75" hidden="false" customHeight="true" outlineLevel="0" collapsed="false">
      <c r="A25" s="24" t="s">
        <v>152</v>
      </c>
      <c r="B25" s="25" t="s">
        <v>153</v>
      </c>
      <c r="C25" s="26"/>
    </row>
    <row r="26" customFormat="false" ht="21.75" hidden="false" customHeight="true" outlineLevel="0" collapsed="false">
      <c r="A26" s="24" t="s">
        <v>154</v>
      </c>
      <c r="B26" s="25" t="s">
        <v>155</v>
      </c>
      <c r="C26" s="26"/>
    </row>
    <row r="27" customFormat="false" ht="21.75" hidden="false" customHeight="true" outlineLevel="0" collapsed="false"/>
    <row r="28" customFormat="false" ht="25.5" hidden="false" customHeight="true" outlineLevel="0" collapsed="false">
      <c r="A28" s="23" t="s">
        <v>156</v>
      </c>
      <c r="B28" s="23"/>
      <c r="C28" s="23"/>
    </row>
    <row r="29" customFormat="false" ht="21.75" hidden="false" customHeight="true" outlineLevel="0" collapsed="false">
      <c r="A29" s="24" t="s">
        <v>146</v>
      </c>
      <c r="B29" s="25" t="s">
        <v>147</v>
      </c>
      <c r="C29" s="26" t="s">
        <v>157</v>
      </c>
    </row>
    <row r="30" customFormat="false" ht="21.75" hidden="false" customHeight="true" outlineLevel="0" collapsed="false">
      <c r="A30" s="24" t="s">
        <v>158</v>
      </c>
      <c r="B30" s="25" t="s">
        <v>153</v>
      </c>
      <c r="C30" s="26" t="s">
        <v>151</v>
      </c>
    </row>
    <row r="31" customFormat="false" ht="21.75" hidden="false" customHeight="true" outlineLevel="0" collapsed="false">
      <c r="A31" s="24" t="s">
        <v>159</v>
      </c>
      <c r="B31" s="25" t="s">
        <v>160</v>
      </c>
      <c r="C31" s="26"/>
    </row>
  </sheetData>
  <mergeCells count="5">
    <mergeCell ref="A3:C3"/>
    <mergeCell ref="A9:C9"/>
    <mergeCell ref="A14:C14"/>
    <mergeCell ref="A22:C22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2026-04-01T03:25:10Z</dcterms:created>
  <dc:creator>openpyxl</dc:creator>
  <dc:description/>
  <dc:language>en-US</dc:language>
  <cp:lastModifiedBy/>
  <dcterms:modified xsi:type="dcterms:W3CDTF">2026-04-01T03:25:10Z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