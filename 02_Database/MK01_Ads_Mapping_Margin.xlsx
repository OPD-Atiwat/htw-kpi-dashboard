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s Mapping &amp; Marg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<sst xmlns="http://schemas.openxmlformats.org/spreadsheetml/2006/main" count="98" uniqueCount="87">
  <si>
    <t xml:space="preserve">📊 MK01 — %Ads Mapping &amp; Margin แยกช่องทาง  (10-05-2026)</t>
  </si>
  <si>
    <t xml:space="preserve">วันที่: 10 พ.ค. 2569  |  ตลาด: OpenDurian HOW-TO  |  หน่วย: บาท</t>
  </si>
  <si>
    <t xml:space="preserve">🔵  SECTION 1 — %Ads Mapping แยกช่องทาง</t>
  </si>
  <si>
    <t xml:space="preserve">ช่องทาง</t>
  </si>
  <si>
    <t xml:space="preserve">Product Group (MK01)</t>
  </si>
  <si>
    <t xml:space="preserve">Sale Total
(บาท)</t>
  </si>
  <si>
    <t xml:space="preserve">FB Ads
(บาท)</t>
  </si>
  <si>
    <t xml:space="preserve">TikTok Ads
(บาท)</t>
  </si>
  <si>
    <t xml:space="preserve">Shopee Ads
(บาท)</t>
  </si>
  <si>
    <t xml:space="preserve">Shopee Partner
(บาท)</t>
  </si>
  <si>
    <t xml:space="preserve">Affiliate
(บาท)</t>
  </si>
  <si>
    <t xml:space="preserve">Ads รวม
(บาท)</t>
  </si>
  <si>
    <t xml:space="preserve">VAT Ads
(บาท)</t>
  </si>
  <si>
    <t xml:space="preserve">%Ads
Net</t>
  </si>
  <si>
    <t xml:space="preserve">หมายเหตุ</t>
  </si>
  <si>
    <t xml:space="preserve">Facebook</t>
  </si>
  <si>
    <t xml:space="preserve">OpenDurian HOW-TO</t>
  </si>
  <si>
    <t xml:space="preserve">FB Ads หลัก, VAT 5.33%</t>
  </si>
  <si>
    <t xml:space="preserve">TikTok</t>
  </si>
  <si>
    <t xml:space="preserve">TikTok × OpenDurian HOW-TO</t>
  </si>
  <si>
    <t xml:space="preserve">TikTok Ads + Affiliate ฿2,916</t>
  </si>
  <si>
    <t xml:space="preserve">Shopee</t>
  </si>
  <si>
    <t xml:space="preserve">Shopee × OpenDurian HOW-TO</t>
  </si>
  <si>
    <t xml:space="preserve">Shopee Ads + Partner, %Ads ต่ำมาก</t>
  </si>
  <si>
    <t xml:space="preserve">Shopee+App</t>
  </si>
  <si>
    <t xml:space="preserve">Shopee × OPD App × HOW-TO</t>
  </si>
  <si>
    <t xml:space="preserve">ยอดน้อย ไม่ส่งผลมาก</t>
  </si>
  <si>
    <t xml:space="preserve">App (FB)</t>
  </si>
  <si>
    <t xml:space="preserve">OPD App × OpenDurian HOW-TO</t>
  </si>
  <si>
    <t xml:space="preserve">Sale=0 แต่ยังจ่าย FB Ads</t>
  </si>
  <si>
    <t xml:space="preserve">Lazada</t>
  </si>
  <si>
    <t xml:space="preserve">Lazada × OpenDurian HOW-TO</t>
  </si>
  <si>
    <t xml:space="preserve">Lazada Ads ฿0.53 เท่านั้น</t>
  </si>
  <si>
    <t xml:space="preserve">รวมทั้งหมด</t>
  </si>
  <si>
    <t xml:space="preserve">รวมทุก Product Group</t>
  </si>
  <si>
    <t xml:space="preserve">Blended %Ads รวม</t>
  </si>
  <si>
    <t xml:space="preserve">🟢  SECTION 2 — Margin แยกช่องทาง (หักค่าใช้จ่ายทั้งหมด)</t>
  </si>
  <si>
    <t xml:space="preserve">Ads + Affiliate
(บาท)</t>
  </si>
  <si>
    <t xml:space="preserve">%Ads</t>
  </si>
  <si>
    <t xml:space="preserve">Var Cost
(บาท)</t>
  </si>
  <si>
    <t xml:space="preserve">%Var Cost</t>
  </si>
  <si>
    <t xml:space="preserve">Fixed Cost
(Product)</t>
  </si>
  <si>
    <t xml:space="preserve">Fixed Cost
(เงินเดือน)</t>
  </si>
  <si>
    <t xml:space="preserve">Fixed Cost
(ส่วนกลาง)</t>
  </si>
  <si>
    <t xml:space="preserve">Margin
(ก่อนหัก เงินเดือน)</t>
  </si>
  <si>
    <t xml:space="preserve">%</t>
  </si>
  <si>
    <t xml:space="preserve">Margin
(หลังหัก เงินเดือน)</t>
  </si>
  <si>
    <t xml:space="preserve">รวม</t>
  </si>
  <si>
    <t xml:space="preserve">📌  SECTION 3 — %Ads Mapping → BEP Reference (ถือไพ่เหนือกว่า)</t>
  </si>
  <si>
    <t xml:space="preserve">BEP Channel</t>
  </si>
  <si>
    <t xml:space="preserve">Online Type</t>
  </si>
  <si>
    <t xml:space="preserve">%Ads ที่ใช้
(MK01 Actual)</t>
  </si>
  <si>
    <t xml:space="preserve">Margin%
(MK01 Actual)</t>
  </si>
  <si>
    <t xml:space="preserve">สถานะ</t>
  </si>
  <si>
    <t xml:space="preserve">คำแนะนำ</t>
  </si>
  <si>
    <t xml:space="preserve">Online 1 — TikTok</t>
  </si>
  <si>
    <t xml:space="preserve">TikTok Ads</t>
  </si>
  <si>
    <t xml:space="preserve">46.25%</t>
  </si>
  <si>
    <t xml:space="preserve">-0.66%</t>
  </si>
  <si>
    <t xml:space="preserve">🔴 Negative Margin</t>
  </si>
  <si>
    <t xml:space="preserve">รักษายอดขาย Volume แต่ต้องดู ROAS ต่อเนื่อง</t>
  </si>
  <si>
    <t xml:space="preserve">Online 2 — Facebook</t>
  </si>
  <si>
    <t xml:space="preserve">Facebook Ads</t>
  </si>
  <si>
    <t xml:space="preserve">47.35%</t>
  </si>
  <si>
    <t xml:space="preserve">-13.26%</t>
  </si>
  <si>
    <t xml:space="preserve">FB ดัน Awareness → ส่งผลให้ Shopee/TikTok ขายได้</t>
  </si>
  <si>
    <t xml:space="preserve">Online 3 — Shopee</t>
  </si>
  <si>
    <t xml:space="preserve">Shopee Ads + Partner</t>
  </si>
  <si>
    <t xml:space="preserve">3.96%</t>
  </si>
  <si>
    <t xml:space="preserve">+46.40%</t>
  </si>
  <si>
    <t xml:space="preserve">🟢 Margin ดีที่สุด</t>
  </si>
  <si>
    <t xml:space="preserve">Hero Margin ช่องทาง — ไม่ควรลดลงมากเกิน</t>
  </si>
  <si>
    <t xml:space="preserve">Online 4 — TikTok Live</t>
  </si>
  <si>
    <t xml:space="preserve">TikTok Live/Affiliate</t>
  </si>
  <si>
    <t xml:space="preserve">~5%</t>
  </si>
  <si>
    <t xml:space="preserve">N/A</t>
  </si>
  <si>
    <t xml:space="preserve">⚠️ ข้อมูลน้อย</t>
  </si>
  <si>
    <t xml:space="preserve">ประเมินจาก TikTok Affiliate ~4.6% ของยอด</t>
  </si>
  <si>
    <t xml:space="preserve">Consignment 1 (C1)</t>
  </si>
  <si>
    <t xml:space="preserve">0%</t>
  </si>
  <si>
    <t xml:space="preserve">+48.22%</t>
  </si>
  <si>
    <t xml:space="preserve">🟢 Margin สูงสุด</t>
  </si>
  <si>
    <t xml:space="preserve">ไม่มีค่า Ads — ขึ้นกับยอด Consignment สาขา</t>
  </si>
  <si>
    <t xml:space="preserve">Consignment 2 (C2)</t>
  </si>
  <si>
    <t xml:space="preserve">+45.59%</t>
  </si>
  <si>
    <t xml:space="preserve">🟢 Margin ดี</t>
  </si>
  <si>
    <t xml:space="preserve">Event/บุ๊คแฟร์ — ตาม pattern ออฟฟิศ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</si>
</sst>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CC"/>
      <name val="Arial"/>
      <family val="0"/>
      <charset val="1"/>
    </font>
    <font>
      <sz val="9"/>
      <color rgb="FF006400"/>
      <name val="Arial"/>
      <family val="0"/>
      <charset val="1"/>
    </font>
    <font>
      <sz val="9"/>
      <color rgb="FF8066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CC"/>
      <name val="Arial"/>
      <family val="0"/>
      <charset val="1"/>
    </font>
    <font>
      <sz val="9"/>
      <color rgb="FFCC00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006400"/>
      <name val="Arial"/>
      <family val="0"/>
      <charset val="1"/>
    </font>
    <font>
      <b val="true"/>
      <sz val="9"/>
      <color rgb="FF8066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B4B"/>
        <bgColor rgb="FF003366"/>
      </patternFill>
    </fill>
    <fill>
      <patternFill patternType="solid">
        <fgColor rgb="FFEEF2F7"/>
        <bgColor rgb="FFF5F5F5"/>
      </patternFill>
    </fill>
    <fill>
      <patternFill patternType="solid">
        <fgColor rgb="FFE8630A"/>
        <bgColor rgb="FFFF9900"/>
      </patternFill>
    </fill>
    <fill>
      <patternFill patternType="solid">
        <fgColor rgb="FFD6E4F0"/>
        <bgColor rgb="FFD9D9D9"/>
      </patternFill>
    </fill>
    <fill>
      <patternFill patternType="solid">
        <fgColor rgb="FFFDE8D8"/>
        <bgColor rgb="FFF5F5F5"/>
      </patternFill>
    </fill>
    <fill>
      <patternFill patternType="solid">
        <fgColor rgb="FFD5F0D5"/>
        <bgColor rgb="FFC8F0C8"/>
      </patternFill>
    </fill>
    <fill>
      <patternFill patternType="solid">
        <fgColor rgb="FFFFF9C4"/>
        <bgColor rgb="FFFDE8D8"/>
      </patternFill>
    </fill>
    <fill>
      <patternFill patternType="solid">
        <fgColor rgb="FFF5F5F5"/>
        <bgColor rgb="FFEEF2F7"/>
      </patternFill>
    </fill>
    <fill>
      <patternFill patternType="solid">
        <fgColor rgb="FFD9D9D9"/>
        <bgColor rgb="FFD6E4F0"/>
      </patternFill>
    </fill>
    <fill>
      <patternFill patternType="solid">
        <fgColor rgb="FF2E7D32"/>
        <bgColor rgb="FF006400"/>
      </patternFill>
    </fill>
    <fill>
      <patternFill patternType="solid">
        <fgColor rgb="FFC8F0C8"/>
        <bgColor rgb="FFD5F0D5"/>
      </patternFill>
    </fill>
    <fill>
      <patternFill patternType="solid">
        <fgColor rgb="FFE0A0A0"/>
        <bgColor rgb="FFFF8080"/>
      </patternFill>
    </fill>
    <fill>
      <patternFill patternType="solid">
        <fgColor rgb="FFF0C8C8"/>
        <bgColor rgb="FFD9D9D9"/>
      </patternFill>
    </fill>
    <fill>
      <patternFill patternType="solid">
        <fgColor rgb="FFA0E0A0"/>
        <bgColor rgb="FFC8F0C8"/>
      </patternFill>
    </fill>
    <fill>
      <patternFill patternType="solid">
        <fgColor rgb="FF4A235A"/>
        <bgColor rgb="FF1B2B4B"/>
      </patternFill>
    </fill>
    <fill>
      <patternFill patternType="solid">
        <fgColor rgb="FFE8F5E9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CC"/>
      <rgbColor rgb="FFF5F5F5"/>
      <rgbColor rgb="FFFF00FF"/>
      <rgbColor rgb="FF00FFFF"/>
      <rgbColor rgb="FF800000"/>
      <rgbColor rgb="FF006400"/>
      <rgbColor rgb="FF000080"/>
      <rgbColor rgb="FF806600"/>
      <rgbColor rgb="FF800080"/>
      <rgbColor rgb="FF008080"/>
      <rgbColor rgb="FFCCCCCC"/>
      <rgbColor rgb="FF888888"/>
      <rgbColor rgb="FFEEF2F7"/>
      <rgbColor rgb="FF993366"/>
      <rgbColor rgb="FFFFF9C4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F0D5"/>
      <rgbColor rgb="FFC8F0C8"/>
      <rgbColor rgb="FFFDE8D8"/>
      <rgbColor rgb="FFA0E0A0"/>
      <rgbColor rgb="FFE0A0A0"/>
      <rgbColor rgb="FFD6E4F0"/>
      <rgbColor rgb="FFF0C8C8"/>
      <rgbColor rgb="FF3366FF"/>
      <rgbColor rgb="FF33CCCC"/>
      <rgbColor rgb="FF99CC00"/>
      <rgbColor rgb="FFFFCC00"/>
      <rgbColor rgb="FFFF9900"/>
      <rgbColor rgb="FFE8630A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4A235A"/>
      <rgbColor rgb="FF1B2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7" min="4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9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36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24" hidden="false" customHeight="true" outlineLevel="0" collapsed="false">
      <c r="A6" s="5" t="s">
        <v>15</v>
      </c>
      <c r="B6" s="5" t="s">
        <v>16</v>
      </c>
      <c r="C6" s="6" t="n">
        <v>49623</v>
      </c>
      <c r="D6" s="7" t="n">
        <v>22311.38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23498.38</v>
      </c>
      <c r="J6" s="7" t="n">
        <v>1187</v>
      </c>
      <c r="K6" s="8" t="n">
        <v>0.4735</v>
      </c>
      <c r="L6" s="9" t="s">
        <v>17</v>
      </c>
    </row>
    <row r="7" customFormat="false" ht="24" hidden="false" customHeight="true" outlineLevel="0" collapsed="false">
      <c r="A7" s="10" t="s">
        <v>18</v>
      </c>
      <c r="B7" s="10" t="s">
        <v>19</v>
      </c>
      <c r="C7" s="11" t="n">
        <v>63416</v>
      </c>
      <c r="D7" s="12" t="n">
        <v>0</v>
      </c>
      <c r="E7" s="12" t="n">
        <v>25079.65</v>
      </c>
      <c r="F7" s="12" t="n">
        <v>0</v>
      </c>
      <c r="G7" s="12" t="n">
        <v>0</v>
      </c>
      <c r="H7" s="12" t="n">
        <v>2915.67</v>
      </c>
      <c r="I7" s="12" t="n">
        <v>29329.32</v>
      </c>
      <c r="J7" s="12" t="n">
        <v>1334</v>
      </c>
      <c r="K7" s="13" t="n">
        <v>0.4625</v>
      </c>
      <c r="L7" s="14" t="s">
        <v>20</v>
      </c>
    </row>
    <row r="8" customFormat="false" ht="24" hidden="false" customHeight="true" outlineLevel="0" collapsed="false">
      <c r="A8" s="15" t="s">
        <v>21</v>
      </c>
      <c r="B8" s="15" t="s">
        <v>22</v>
      </c>
      <c r="C8" s="16" t="n">
        <v>22844</v>
      </c>
      <c r="D8" s="17" t="n">
        <v>0</v>
      </c>
      <c r="E8" s="17" t="n">
        <v>0</v>
      </c>
      <c r="F8" s="17" t="n">
        <v>588.05</v>
      </c>
      <c r="G8" s="17" t="n">
        <v>270.49</v>
      </c>
      <c r="H8" s="17" t="n">
        <v>0</v>
      </c>
      <c r="I8" s="17" t="n">
        <v>904.54</v>
      </c>
      <c r="J8" s="17" t="n">
        <v>46</v>
      </c>
      <c r="K8" s="18" t="n">
        <v>0.0396</v>
      </c>
      <c r="L8" s="19" t="s">
        <v>23</v>
      </c>
    </row>
    <row r="9" customFormat="false" ht="24" hidden="false" customHeight="true" outlineLevel="0" collapsed="false">
      <c r="A9" s="20" t="s">
        <v>24</v>
      </c>
      <c r="B9" s="20" t="s">
        <v>25</v>
      </c>
      <c r="C9" s="21" t="n">
        <v>359</v>
      </c>
      <c r="D9" s="22" t="n">
        <v>0</v>
      </c>
      <c r="E9" s="22" t="n">
        <v>0</v>
      </c>
      <c r="F9" s="22" t="n">
        <v>4.37</v>
      </c>
      <c r="G9" s="22" t="n">
        <v>0</v>
      </c>
      <c r="H9" s="22" t="n">
        <v>0</v>
      </c>
      <c r="I9" s="22" t="n">
        <v>4.37</v>
      </c>
      <c r="J9" s="22" t="n">
        <v>0</v>
      </c>
      <c r="K9" s="23" t="n">
        <v>0.0122</v>
      </c>
      <c r="L9" s="24" t="s">
        <v>26</v>
      </c>
    </row>
    <row r="10" customFormat="false" ht="24" hidden="false" customHeight="true" outlineLevel="0" collapsed="false">
      <c r="A10" s="25" t="s">
        <v>27</v>
      </c>
      <c r="B10" s="25" t="s">
        <v>28</v>
      </c>
      <c r="C10" s="26" t="n">
        <v>0</v>
      </c>
      <c r="D10" s="27" t="n">
        <v>104.2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110.2</v>
      </c>
      <c r="J10" s="27" t="n">
        <v>6</v>
      </c>
      <c r="K10" s="28"/>
      <c r="L10" s="26" t="s">
        <v>29</v>
      </c>
    </row>
    <row r="11" customFormat="false" ht="24" hidden="false" customHeight="true" outlineLevel="0" collapsed="false">
      <c r="A11" s="25" t="s">
        <v>30</v>
      </c>
      <c r="B11" s="25" t="s">
        <v>31</v>
      </c>
      <c r="C11" s="26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0.53</v>
      </c>
      <c r="J11" s="27" t="n">
        <v>0</v>
      </c>
      <c r="K11" s="28"/>
      <c r="L11" s="26" t="s">
        <v>32</v>
      </c>
    </row>
    <row r="12" customFormat="false" ht="21.75" hidden="false" customHeight="true" outlineLevel="0" collapsed="false">
      <c r="A12" s="29" t="s">
        <v>33</v>
      </c>
      <c r="B12" s="29" t="s">
        <v>34</v>
      </c>
      <c r="C12" s="30" t="n">
        <f aca="false">SUM(C6:C11)</f>
        <v>136242</v>
      </c>
      <c r="D12" s="30" t="n">
        <f aca="false">SUM(D6:D11)</f>
        <v>22415.58</v>
      </c>
      <c r="E12" s="30" t="n">
        <f aca="false">SUM(E6:E11)</f>
        <v>25079.65</v>
      </c>
      <c r="F12" s="30" t="n">
        <f aca="false">SUM(F6:F11)</f>
        <v>592.42</v>
      </c>
      <c r="G12" s="30" t="n">
        <f aca="false">SUM(G6:G11)</f>
        <v>270.49</v>
      </c>
      <c r="H12" s="30" t="n">
        <f aca="false">SUM(H6:H11)</f>
        <v>2915.67</v>
      </c>
      <c r="I12" s="30" t="n">
        <f aca="false">SUM(I6:I11)</f>
        <v>53847.34</v>
      </c>
      <c r="J12" s="30" t="n">
        <f aca="false">SUM(J6:J11)</f>
        <v>2573</v>
      </c>
      <c r="K12" s="31" t="n">
        <f aca="false">IFERROR(I12/C12,"-")</f>
        <v>0.395233041206089</v>
      </c>
      <c r="L12" s="29" t="s">
        <v>35</v>
      </c>
    </row>
    <row r="14" customFormat="false" ht="24" hidden="false" customHeight="true" outlineLevel="0" collapsed="false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36" hidden="false" customHeight="true" outlineLevel="0" collapsed="false">
      <c r="A15" s="32" t="s">
        <v>3</v>
      </c>
      <c r="B15" s="32" t="s">
        <v>5</v>
      </c>
      <c r="C15" s="32" t="s">
        <v>37</v>
      </c>
      <c r="D15" s="32" t="s">
        <v>38</v>
      </c>
      <c r="E15" s="32" t="s">
        <v>39</v>
      </c>
      <c r="F15" s="32" t="s">
        <v>40</v>
      </c>
      <c r="G15" s="32" t="s">
        <v>41</v>
      </c>
      <c r="H15" s="32" t="s">
        <v>42</v>
      </c>
      <c r="I15" s="32" t="s">
        <v>43</v>
      </c>
      <c r="J15" s="32" t="s">
        <v>44</v>
      </c>
      <c r="K15" s="32" t="s">
        <v>45</v>
      </c>
      <c r="L15" s="32" t="s">
        <v>46</v>
      </c>
      <c r="M15" s="32" t="s">
        <v>45</v>
      </c>
    </row>
    <row r="16" customFormat="false" ht="21.75" hidden="false" customHeight="true" outlineLevel="0" collapsed="false">
      <c r="A16" s="33" t="s">
        <v>15</v>
      </c>
      <c r="B16" s="34" t="n">
        <v>49623</v>
      </c>
      <c r="C16" s="34" t="n">
        <v>23498.38</v>
      </c>
      <c r="D16" s="8" t="n">
        <v>0.4735</v>
      </c>
      <c r="E16" s="34" t="n">
        <v>12617</v>
      </c>
      <c r="F16" s="8" t="n">
        <v>0.2543</v>
      </c>
      <c r="G16" s="34" t="n">
        <v>2935</v>
      </c>
      <c r="H16" s="34" t="n">
        <v>10627</v>
      </c>
      <c r="I16" s="34" t="n">
        <v>13999.79</v>
      </c>
      <c r="J16" s="35" t="n">
        <v>10047</v>
      </c>
      <c r="K16" s="36" t="n">
        <v>0.2024</v>
      </c>
      <c r="L16" s="37" t="n">
        <v>-6579</v>
      </c>
      <c r="M16" s="38" t="n">
        <v>-0.1326</v>
      </c>
    </row>
    <row r="17" customFormat="false" ht="21.75" hidden="false" customHeight="true" outlineLevel="0" collapsed="false">
      <c r="A17" s="39" t="s">
        <v>18</v>
      </c>
      <c r="B17" s="40" t="n">
        <v>63416</v>
      </c>
      <c r="C17" s="40" t="n">
        <v>29329.32</v>
      </c>
      <c r="D17" s="13" t="n">
        <v>0.4625</v>
      </c>
      <c r="E17" s="40" t="n">
        <v>29111</v>
      </c>
      <c r="F17" s="13" t="n">
        <v>0.459</v>
      </c>
      <c r="G17" s="40" t="n">
        <v>4473</v>
      </c>
      <c r="H17" s="40" t="n">
        <v>246.4</v>
      </c>
      <c r="I17" s="40" t="n">
        <v>5006.76</v>
      </c>
      <c r="J17" s="41" t="n">
        <v>-170</v>
      </c>
      <c r="K17" s="42" t="n">
        <v>-0.0027</v>
      </c>
      <c r="L17" s="37" t="n">
        <v>-416</v>
      </c>
      <c r="M17" s="42" t="n">
        <v>-0.0066</v>
      </c>
    </row>
    <row r="18" customFormat="false" ht="21.75" hidden="false" customHeight="true" outlineLevel="0" collapsed="false">
      <c r="A18" s="43" t="s">
        <v>21</v>
      </c>
      <c r="B18" s="44" t="n">
        <v>22844</v>
      </c>
      <c r="C18" s="44" t="n">
        <v>904.54</v>
      </c>
      <c r="D18" s="18" t="n">
        <v>0.0396</v>
      </c>
      <c r="E18" s="44" t="n">
        <v>9820</v>
      </c>
      <c r="F18" s="18" t="n">
        <v>0.4299</v>
      </c>
      <c r="G18" s="44" t="n">
        <v>957</v>
      </c>
      <c r="H18" s="44" t="n">
        <v>299.41</v>
      </c>
      <c r="I18" s="44" t="n">
        <v>1825.94</v>
      </c>
      <c r="J18" s="35" t="n">
        <v>10921</v>
      </c>
      <c r="K18" s="45" t="n">
        <v>0.4781</v>
      </c>
      <c r="L18" s="46" t="n">
        <v>10599</v>
      </c>
      <c r="M18" s="45" t="n">
        <v>0.464</v>
      </c>
    </row>
    <row r="19" customFormat="false" ht="21.75" hidden="false" customHeight="true" outlineLevel="0" collapsed="false">
      <c r="A19" s="47" t="s">
        <v>24</v>
      </c>
      <c r="B19" s="48" t="n">
        <v>359</v>
      </c>
      <c r="C19" s="48" t="n">
        <v>4.37</v>
      </c>
      <c r="D19" s="23" t="n">
        <v>0.0122</v>
      </c>
      <c r="E19" s="48" t="n">
        <v>130</v>
      </c>
      <c r="F19" s="23" t="n">
        <v>0.3621</v>
      </c>
      <c r="G19" s="48" t="n">
        <v>22</v>
      </c>
      <c r="H19" s="48" t="n">
        <v>0</v>
      </c>
      <c r="I19" s="48" t="n">
        <v>28.34</v>
      </c>
      <c r="J19" s="35" t="n">
        <v>203</v>
      </c>
      <c r="K19" s="49" t="n">
        <v>0.5655</v>
      </c>
      <c r="L19" s="46" t="n">
        <v>203</v>
      </c>
      <c r="M19" s="49" t="n">
        <v>0.5655</v>
      </c>
    </row>
    <row r="20" customFormat="false" ht="21.75" hidden="false" customHeight="true" outlineLevel="0" collapsed="false">
      <c r="A20" s="29" t="s">
        <v>47</v>
      </c>
      <c r="B20" s="50" t="n">
        <f aca="false">SUM(B16:B19)</f>
        <v>136242</v>
      </c>
      <c r="C20" s="50" t="n">
        <f aca="false">SUM(C16:C19)</f>
        <v>53736.61</v>
      </c>
      <c r="D20" s="31" t="n">
        <f aca="false">IFERROR(C20/B20,0)</f>
        <v>0.394420296237577</v>
      </c>
      <c r="E20" s="50" t="n">
        <f aca="false">SUM(E16:E19)</f>
        <v>51678</v>
      </c>
      <c r="F20" s="31" t="n">
        <f aca="false">IFERROR(E20/B20,0)</f>
        <v>0.379310344827586</v>
      </c>
      <c r="G20" s="50" t="n">
        <f aca="false">SUM(G16:G19)</f>
        <v>8387</v>
      </c>
      <c r="H20" s="50" t="n">
        <f aca="false">SUM(H16:H19)</f>
        <v>11172.81</v>
      </c>
      <c r="I20" s="50" t="n">
        <f aca="false">SUM(I16:I19)</f>
        <v>20860.83</v>
      </c>
      <c r="J20" s="50" t="n">
        <f aca="false">SUM(J16:J19)</f>
        <v>21001</v>
      </c>
      <c r="K20" s="31" t="n">
        <f aca="false">IFERROR(J20/B20,0)</f>
        <v>0.154144830522159</v>
      </c>
      <c r="L20" s="50" t="n">
        <f aca="false">SUM(L16:L19)</f>
        <v>3807</v>
      </c>
      <c r="M20" s="31" t="n">
        <f aca="false">IFERROR(L20/B20,0)</f>
        <v>0.0279429250891796</v>
      </c>
    </row>
    <row r="22" customFormat="false" ht="24" hidden="false" customHeight="true" outlineLevel="0" collapsed="false">
      <c r="A22" s="3" t="s">
        <v>48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36" hidden="false" customHeight="true" outlineLevel="0" collapsed="false">
      <c r="A23" s="51" t="s">
        <v>49</v>
      </c>
      <c r="B23" s="51" t="s">
        <v>50</v>
      </c>
      <c r="C23" s="51" t="s">
        <v>51</v>
      </c>
      <c r="D23" s="51" t="s">
        <v>52</v>
      </c>
      <c r="E23" s="51" t="s">
        <v>53</v>
      </c>
      <c r="F23" s="51" t="s">
        <v>54</v>
      </c>
    </row>
    <row r="24" customFormat="false" ht="21.75" hidden="false" customHeight="true" outlineLevel="0" collapsed="false">
      <c r="A24" s="52" t="s">
        <v>55</v>
      </c>
      <c r="B24" s="52" t="s">
        <v>56</v>
      </c>
      <c r="C24" s="53" t="s">
        <v>57</v>
      </c>
      <c r="D24" s="54" t="s">
        <v>58</v>
      </c>
      <c r="E24" s="14" t="s">
        <v>59</v>
      </c>
      <c r="F24" s="10" t="s">
        <v>60</v>
      </c>
    </row>
    <row r="25" customFormat="false" ht="21.75" hidden="false" customHeight="true" outlineLevel="0" collapsed="false">
      <c r="A25" s="55" t="s">
        <v>61</v>
      </c>
      <c r="B25" s="55" t="s">
        <v>62</v>
      </c>
      <c r="C25" s="56" t="s">
        <v>63</v>
      </c>
      <c r="D25" s="57" t="s">
        <v>64</v>
      </c>
      <c r="E25" s="9" t="s">
        <v>59</v>
      </c>
      <c r="F25" s="5" t="s">
        <v>65</v>
      </c>
    </row>
    <row r="26" customFormat="false" ht="21.75" hidden="false" customHeight="true" outlineLevel="0" collapsed="false">
      <c r="A26" s="58" t="s">
        <v>66</v>
      </c>
      <c r="B26" s="58" t="s">
        <v>67</v>
      </c>
      <c r="C26" s="59" t="s">
        <v>68</v>
      </c>
      <c r="D26" s="60" t="s">
        <v>69</v>
      </c>
      <c r="E26" s="19" t="s">
        <v>70</v>
      </c>
      <c r="F26" s="15" t="s">
        <v>71</v>
      </c>
    </row>
    <row r="27" customFormat="false" ht="21.75" hidden="false" customHeight="true" outlineLevel="0" collapsed="false">
      <c r="A27" s="61" t="s">
        <v>72</v>
      </c>
      <c r="B27" s="61" t="s">
        <v>73</v>
      </c>
      <c r="C27" s="62" t="s">
        <v>74</v>
      </c>
      <c r="D27" s="62" t="s">
        <v>75</v>
      </c>
      <c r="E27" s="24" t="s">
        <v>76</v>
      </c>
      <c r="F27" s="20" t="s">
        <v>77</v>
      </c>
    </row>
    <row r="28" customFormat="false" ht="21.75" hidden="false" customHeight="true" outlineLevel="0" collapsed="false">
      <c r="A28" s="63" t="s">
        <v>78</v>
      </c>
      <c r="B28" s="63" t="s">
        <v>75</v>
      </c>
      <c r="C28" s="64" t="s">
        <v>79</v>
      </c>
      <c r="D28" s="65" t="s">
        <v>80</v>
      </c>
      <c r="E28" s="66" t="s">
        <v>81</v>
      </c>
      <c r="F28" s="67" t="s">
        <v>82</v>
      </c>
    </row>
    <row r="29" customFormat="false" ht="21.75" hidden="false" customHeight="true" outlineLevel="0" collapsed="false">
      <c r="A29" s="63" t="s">
        <v>83</v>
      </c>
      <c r="B29" s="63" t="s">
        <v>75</v>
      </c>
      <c r="C29" s="64" t="s">
        <v>79</v>
      </c>
      <c r="D29" s="65" t="s">
        <v>84</v>
      </c>
      <c r="E29" s="66" t="s">
        <v>85</v>
      </c>
      <c r="F29" s="67" t="s">
        <v>86</v>
      </c>
    </row>
  </sheetData>
  <mergeCells count="5">
    <mergeCell ref="A1:L1"/>
    <mergeCell ref="A2:L2"/>
    <mergeCell ref="A4:L4"/>
    <mergeCell ref="A14:L14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2026-05-11T06:31:10Z</dcterms:created>
  <dc:creator>openpyxl</dc:creator>
  <dc:description/>
  <dc:language>en-US</dc:language>
  <cp:lastModifiedBy/>
  <dcterms:modified xsi:type="dcterms:W3CDTF">2026-05-11T06:31:10Z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